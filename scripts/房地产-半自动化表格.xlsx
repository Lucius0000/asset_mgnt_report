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us\Desktop\asset_mgnt_report\codex\scripts\"/>
    </mc:Choice>
  </mc:AlternateContent>
  <xr:revisionPtr revIDLastSave="0" documentId="13_ncr:1_{0514DA7C-FF72-43FE-B014-7BD9078C1F86}" xr6:coauthVersionLast="47" xr6:coauthVersionMax="47" xr10:uidLastSave="{00000000-0000-0000-0000-000000000000}"/>
  <bookViews>
    <workbookView xWindow="-110" yWindow="-110" windowWidth="25820" windowHeight="13900" tabRatio="784" xr2:uid="{D1DDF7B5-99D9-344F-819C-1A690CDC6D20}"/>
  </bookViews>
  <sheets>
    <sheet name="output_sheet" sheetId="1" r:id="rId1"/>
    <sheet name="price-to-rent ratio" sheetId="18" r:id="rId2"/>
    <sheet name="Processed_HousePriceIndex_CN_SZ" sheetId="12" r:id="rId3"/>
    <sheet name="Processed_HousePriceIndex_CN_HK" sheetId="13" r:id="rId4"/>
    <sheet name="Processed_HousePriceIndex_US_CA" sheetId="14" r:id="rId5"/>
    <sheet name="Processed_RentPrice_CN_HK " sheetId="16" r:id="rId6"/>
    <sheet name="Processed_RentPrice_US_CA" sheetId="15" r:id="rId7"/>
    <sheet name="rawData_HousePriceIndex_SZ" sheetId="2" r:id="rId8"/>
    <sheet name="rawData_HousePriceIndex_HK" sheetId="4" r:id="rId9"/>
    <sheet name="rawData_HousePriceIndex_US" sheetId="5" r:id="rId10"/>
    <sheet name="rawData_RentPriceIndex_HK" sheetId="6" r:id="rId11"/>
    <sheet name="rawData_RentPriceIndex_US" sheetId="7" r:id="rId12"/>
  </sheets>
  <definedNames>
    <definedName name="ExternalData_1" localSheetId="3" hidden="1">Processed_HousePriceIndex_CN_HK!$A$1:$L$77</definedName>
    <definedName name="ExternalData_1" localSheetId="4" hidden="1">Processed_HousePriceIndex_US_CA!$A$1:$L$76</definedName>
    <definedName name="ExternalData_1" localSheetId="6" hidden="1">Processed_RentPrice_US_CA!$A$1:$L$77</definedName>
    <definedName name="ExternalData_2" localSheetId="2" hidden="1">Processed_HousePriceIndex_CN_SZ!$A$1:$L$79</definedName>
    <definedName name="ExternalData_2" localSheetId="5" hidden="1">'Processed_RentPrice_CN_HK '!$A$1:$L$77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" i="12" l="1"/>
  <c r="B79" i="12"/>
  <c r="I79" i="12"/>
  <c r="J79" i="12"/>
  <c r="K79" i="12"/>
  <c r="L79" i="12"/>
  <c r="M79" i="12" a="1"/>
  <c r="N79" i="12" a="1"/>
  <c r="A77" i="13"/>
  <c r="B77" i="13"/>
  <c r="I77" i="13"/>
  <c r="J77" i="13"/>
  <c r="K77" i="13"/>
  <c r="L77" i="13"/>
  <c r="M77" i="13" a="1"/>
  <c r="N77" i="13" a="1"/>
  <c r="A77" i="16"/>
  <c r="B77" i="16"/>
  <c r="I77" i="16"/>
  <c r="J77" i="16"/>
  <c r="K77" i="16"/>
  <c r="L77" i="16"/>
  <c r="M77" i="16" a="1"/>
  <c r="N77" i="16" a="1"/>
  <c r="A71" i="15"/>
  <c r="B71" i="15"/>
  <c r="A72" i="15"/>
  <c r="B72" i="15"/>
  <c r="I72" i="15"/>
  <c r="K72" i="15"/>
  <c r="A73" i="15"/>
  <c r="B73" i="15"/>
  <c r="I73" i="15"/>
  <c r="K73" i="15"/>
  <c r="A74" i="15"/>
  <c r="B74" i="15"/>
  <c r="I74" i="15"/>
  <c r="K74" i="15"/>
  <c r="A75" i="15"/>
  <c r="B75" i="15"/>
  <c r="I75" i="15"/>
  <c r="K75" i="15"/>
  <c r="A76" i="15"/>
  <c r="B76" i="15"/>
  <c r="I76" i="15"/>
  <c r="K76" i="15"/>
  <c r="A77" i="15"/>
  <c r="B77" i="15"/>
  <c r="I77" i="15"/>
  <c r="K77" i="15"/>
  <c r="A72" i="16"/>
  <c r="B72" i="16"/>
  <c r="A73" i="16"/>
  <c r="B73" i="16"/>
  <c r="I73" i="16"/>
  <c r="K73" i="16"/>
  <c r="A74" i="16"/>
  <c r="B74" i="16"/>
  <c r="I74" i="16"/>
  <c r="K74" i="16"/>
  <c r="A75" i="16"/>
  <c r="B75" i="16"/>
  <c r="I75" i="16"/>
  <c r="K75" i="16"/>
  <c r="A76" i="16"/>
  <c r="B76" i="16"/>
  <c r="I76" i="16"/>
  <c r="K76" i="16"/>
  <c r="A71" i="14"/>
  <c r="B71" i="14"/>
  <c r="A72" i="14"/>
  <c r="B72" i="14"/>
  <c r="I72" i="14"/>
  <c r="J72" i="14"/>
  <c r="K72" i="14"/>
  <c r="L72" i="14"/>
  <c r="A73" i="14"/>
  <c r="B73" i="14"/>
  <c r="I73" i="14"/>
  <c r="J73" i="14"/>
  <c r="K73" i="14"/>
  <c r="L73" i="14"/>
  <c r="A74" i="14"/>
  <c r="B74" i="14"/>
  <c r="I74" i="14"/>
  <c r="J74" i="14"/>
  <c r="K74" i="14"/>
  <c r="L74" i="14"/>
  <c r="A75" i="14"/>
  <c r="B75" i="14"/>
  <c r="I75" i="14" s="1"/>
  <c r="J75" i="14"/>
  <c r="K75" i="14"/>
  <c r="L75" i="14"/>
  <c r="A76" i="14"/>
  <c r="B76" i="14"/>
  <c r="I76" i="14"/>
  <c r="J76" i="14"/>
  <c r="K76" i="14"/>
  <c r="L76" i="14"/>
  <c r="A72" i="13"/>
  <c r="B72" i="13"/>
  <c r="I72" i="13"/>
  <c r="K72" i="13"/>
  <c r="A73" i="13"/>
  <c r="B73" i="13"/>
  <c r="I73" i="13"/>
  <c r="K73" i="13"/>
  <c r="A74" i="13"/>
  <c r="B74" i="13"/>
  <c r="I74" i="13"/>
  <c r="J74" i="13"/>
  <c r="K74" i="13"/>
  <c r="L74" i="13"/>
  <c r="A75" i="13"/>
  <c r="B75" i="13"/>
  <c r="I75" i="13"/>
  <c r="J75" i="13"/>
  <c r="K75" i="13"/>
  <c r="L75" i="13"/>
  <c r="N75" i="13" a="1"/>
  <c r="A76" i="13"/>
  <c r="M75" i="13" s="1" a="1"/>
  <c r="B76" i="13"/>
  <c r="I76" i="13"/>
  <c r="J76" i="13"/>
  <c r="K76" i="13"/>
  <c r="L76" i="13"/>
  <c r="M76" i="13" a="1"/>
  <c r="N76" i="13" a="1"/>
  <c r="A74" i="12"/>
  <c r="B74" i="12"/>
  <c r="A75" i="12"/>
  <c r="B75" i="12"/>
  <c r="A76" i="12"/>
  <c r="B76" i="12"/>
  <c r="I76" i="12"/>
  <c r="K76" i="12"/>
  <c r="A77" i="12"/>
  <c r="B77" i="12"/>
  <c r="I77" i="12"/>
  <c r="J77" i="12"/>
  <c r="K77" i="12"/>
  <c r="L77" i="12"/>
  <c r="A78" i="12"/>
  <c r="B78" i="12"/>
  <c r="I78" i="12"/>
  <c r="J78" i="12"/>
  <c r="K78" i="12"/>
  <c r="L78" i="12"/>
  <c r="D2" i="1"/>
  <c r="C2" i="1"/>
  <c r="A73" i="12"/>
  <c r="B73" i="12"/>
  <c r="I73" i="12" s="1"/>
  <c r="A71" i="13"/>
  <c r="B71" i="13"/>
  <c r="A70" i="14"/>
  <c r="B70" i="14"/>
  <c r="J70" i="14"/>
  <c r="L70" i="14"/>
  <c r="M70" i="14" a="1"/>
  <c r="N70" i="14" a="1"/>
  <c r="A71" i="16"/>
  <c r="B71" i="16"/>
  <c r="J71" i="16"/>
  <c r="L71" i="16"/>
  <c r="A3" i="15"/>
  <c r="B3" i="15"/>
  <c r="A4" i="15"/>
  <c r="B4" i="15"/>
  <c r="A5" i="15"/>
  <c r="B5" i="15"/>
  <c r="A6" i="15"/>
  <c r="B6" i="15"/>
  <c r="A7" i="15"/>
  <c r="B7" i="15"/>
  <c r="A8" i="15"/>
  <c r="B8" i="15"/>
  <c r="I8" i="15" s="1"/>
  <c r="A9" i="15"/>
  <c r="B9" i="15"/>
  <c r="A10" i="15"/>
  <c r="B10" i="15"/>
  <c r="I10" i="15" s="1"/>
  <c r="A11" i="15"/>
  <c r="B11" i="15"/>
  <c r="A12" i="15"/>
  <c r="B12" i="15"/>
  <c r="I12" i="15" s="1"/>
  <c r="A13" i="15"/>
  <c r="B13" i="15"/>
  <c r="I13" i="15" s="1"/>
  <c r="A14" i="15"/>
  <c r="B14" i="15"/>
  <c r="I14" i="15" s="1"/>
  <c r="A15" i="15"/>
  <c r="B15" i="15"/>
  <c r="A16" i="15"/>
  <c r="B16" i="15"/>
  <c r="A17" i="15"/>
  <c r="B17" i="15"/>
  <c r="A18" i="15"/>
  <c r="B18" i="15"/>
  <c r="A19" i="15"/>
  <c r="B19" i="15"/>
  <c r="A20" i="15"/>
  <c r="B20" i="15"/>
  <c r="A21" i="15"/>
  <c r="B21" i="15"/>
  <c r="A22" i="15"/>
  <c r="B22" i="15"/>
  <c r="K22" i="15" s="1"/>
  <c r="A23" i="15"/>
  <c r="B23" i="15"/>
  <c r="I23" i="15" s="1"/>
  <c r="A24" i="15"/>
  <c r="B24" i="15"/>
  <c r="I24" i="15" s="1"/>
  <c r="A25" i="15"/>
  <c r="B25" i="15"/>
  <c r="A26" i="15"/>
  <c r="B26" i="15"/>
  <c r="A27" i="15"/>
  <c r="B27" i="15"/>
  <c r="A28" i="15"/>
  <c r="B28" i="15"/>
  <c r="A29" i="15"/>
  <c r="B29" i="15"/>
  <c r="A30" i="15"/>
  <c r="B30" i="15"/>
  <c r="A31" i="15"/>
  <c r="B31" i="15"/>
  <c r="L43" i="15" s="1"/>
  <c r="A32" i="15"/>
  <c r="B32" i="15"/>
  <c r="A33" i="15"/>
  <c r="B33" i="15"/>
  <c r="L45" i="15" s="1"/>
  <c r="A34" i="15"/>
  <c r="B34" i="15"/>
  <c r="A35" i="15"/>
  <c r="B35" i="15"/>
  <c r="M35" i="15" s="1" a="1"/>
  <c r="A36" i="15"/>
  <c r="B36" i="15"/>
  <c r="M36" i="15" s="1" a="1"/>
  <c r="A37" i="15"/>
  <c r="B37" i="15"/>
  <c r="A38" i="15"/>
  <c r="B38" i="15"/>
  <c r="K38" i="15" s="1"/>
  <c r="A39" i="15"/>
  <c r="B39" i="15"/>
  <c r="A40" i="15"/>
  <c r="B40" i="15"/>
  <c r="K40" i="15" s="1"/>
  <c r="A41" i="15"/>
  <c r="B41" i="15"/>
  <c r="A42" i="15"/>
  <c r="B42" i="15"/>
  <c r="A43" i="15"/>
  <c r="B43" i="15"/>
  <c r="A44" i="15"/>
  <c r="B44" i="15"/>
  <c r="A45" i="15"/>
  <c r="B45" i="15"/>
  <c r="I45" i="15" s="1"/>
  <c r="A46" i="15"/>
  <c r="B46" i="15"/>
  <c r="I46" i="15" s="1"/>
  <c r="A47" i="15"/>
  <c r="B47" i="15"/>
  <c r="A48" i="15"/>
  <c r="B48" i="15"/>
  <c r="A49" i="15"/>
  <c r="B49" i="15"/>
  <c r="A50" i="15"/>
  <c r="B50" i="15"/>
  <c r="A51" i="15"/>
  <c r="B51" i="15"/>
  <c r="A52" i="15"/>
  <c r="B52" i="15"/>
  <c r="A53" i="15"/>
  <c r="B53" i="15"/>
  <c r="J53" i="15" s="1"/>
  <c r="A54" i="15"/>
  <c r="B54" i="15"/>
  <c r="A55" i="15"/>
  <c r="B55" i="15"/>
  <c r="J55" i="15" s="1"/>
  <c r="A56" i="15"/>
  <c r="B56" i="15"/>
  <c r="A57" i="15"/>
  <c r="B57" i="15"/>
  <c r="I57" i="15" s="1"/>
  <c r="A58" i="15"/>
  <c r="B58" i="15"/>
  <c r="A59" i="15"/>
  <c r="B59" i="15"/>
  <c r="A60" i="15"/>
  <c r="B60" i="15"/>
  <c r="A61" i="15"/>
  <c r="B61" i="15"/>
  <c r="A62" i="15"/>
  <c r="B62" i="15"/>
  <c r="A63" i="15"/>
  <c r="B63" i="15"/>
  <c r="A64" i="15"/>
  <c r="B64" i="15"/>
  <c r="A65" i="15"/>
  <c r="B65" i="15"/>
  <c r="A66" i="15"/>
  <c r="B66" i="15"/>
  <c r="K66" i="15" s="1"/>
  <c r="A67" i="15"/>
  <c r="B67" i="15"/>
  <c r="A68" i="15"/>
  <c r="B68" i="15"/>
  <c r="A69" i="15"/>
  <c r="B69" i="15"/>
  <c r="I69" i="15" s="1"/>
  <c r="A70" i="15"/>
  <c r="B70" i="15"/>
  <c r="B2" i="15"/>
  <c r="K3" i="15" s="1"/>
  <c r="A2" i="15"/>
  <c r="A3" i="16"/>
  <c r="B3" i="16"/>
  <c r="A4" i="16"/>
  <c r="B4" i="16"/>
  <c r="A5" i="16"/>
  <c r="B5" i="16"/>
  <c r="A6" i="16"/>
  <c r="B6" i="16"/>
  <c r="A7" i="16"/>
  <c r="B7" i="16"/>
  <c r="A8" i="16"/>
  <c r="B8" i="16"/>
  <c r="A9" i="16"/>
  <c r="B9" i="16"/>
  <c r="A10" i="16"/>
  <c r="B10" i="16"/>
  <c r="A11" i="16"/>
  <c r="B11" i="16"/>
  <c r="I11" i="16" s="1"/>
  <c r="A12" i="16"/>
  <c r="B12" i="16"/>
  <c r="K12" i="16" s="1"/>
  <c r="A13" i="16"/>
  <c r="B13" i="16"/>
  <c r="K13" i="16" s="1"/>
  <c r="A14" i="16"/>
  <c r="B14" i="16"/>
  <c r="A15" i="16"/>
  <c r="B15" i="16"/>
  <c r="A16" i="16"/>
  <c r="B16" i="16"/>
  <c r="A17" i="16"/>
  <c r="B17" i="16"/>
  <c r="A18" i="16"/>
  <c r="B18" i="16"/>
  <c r="A19" i="16"/>
  <c r="B19" i="16"/>
  <c r="A20" i="16"/>
  <c r="B20" i="16"/>
  <c r="A21" i="16"/>
  <c r="B21" i="16"/>
  <c r="A22" i="16"/>
  <c r="B22" i="16"/>
  <c r="A23" i="16"/>
  <c r="B23" i="16"/>
  <c r="A24" i="16"/>
  <c r="B24" i="16"/>
  <c r="A25" i="16"/>
  <c r="B25" i="16"/>
  <c r="A26" i="16"/>
  <c r="B26" i="16"/>
  <c r="L26" i="16" s="1"/>
  <c r="A27" i="16"/>
  <c r="B27" i="16"/>
  <c r="I27" i="16" s="1"/>
  <c r="A28" i="16"/>
  <c r="B28" i="16"/>
  <c r="A29" i="16"/>
  <c r="B29" i="16"/>
  <c r="A30" i="16"/>
  <c r="B30" i="16"/>
  <c r="A31" i="16"/>
  <c r="B31" i="16"/>
  <c r="A32" i="16"/>
  <c r="B32" i="16"/>
  <c r="A33" i="16"/>
  <c r="B33" i="16"/>
  <c r="K33" i="16" s="1"/>
  <c r="A34" i="16"/>
  <c r="B34" i="16"/>
  <c r="A35" i="16"/>
  <c r="B35" i="16"/>
  <c r="A36" i="16"/>
  <c r="B36" i="16"/>
  <c r="A37" i="16"/>
  <c r="B37" i="16"/>
  <c r="A38" i="16"/>
  <c r="B38" i="16"/>
  <c r="A39" i="16"/>
  <c r="B39" i="16"/>
  <c r="A40" i="16"/>
  <c r="B40" i="16"/>
  <c r="A41" i="16"/>
  <c r="B41" i="16"/>
  <c r="A42" i="16"/>
  <c r="B42" i="16"/>
  <c r="A43" i="16"/>
  <c r="B43" i="16"/>
  <c r="A44" i="16"/>
  <c r="B44" i="16"/>
  <c r="A45" i="16"/>
  <c r="B45" i="16"/>
  <c r="A46" i="16"/>
  <c r="B46" i="16"/>
  <c r="A47" i="16"/>
  <c r="B47" i="16"/>
  <c r="A48" i="16"/>
  <c r="B48" i="16"/>
  <c r="A49" i="16"/>
  <c r="B49" i="16"/>
  <c r="A50" i="16"/>
  <c r="B50" i="16"/>
  <c r="I50" i="16" s="1"/>
  <c r="A51" i="16"/>
  <c r="B51" i="16"/>
  <c r="A52" i="16"/>
  <c r="B52" i="16"/>
  <c r="A53" i="16"/>
  <c r="B53" i="16"/>
  <c r="A54" i="16"/>
  <c r="B54" i="16"/>
  <c r="A55" i="16"/>
  <c r="B55" i="16"/>
  <c r="A56" i="16"/>
  <c r="B56" i="16"/>
  <c r="J56" i="16" s="1"/>
  <c r="A57" i="16"/>
  <c r="B57" i="16"/>
  <c r="A58" i="16"/>
  <c r="B58" i="16"/>
  <c r="A59" i="16"/>
  <c r="B59" i="16"/>
  <c r="M59" i="16" s="1" a="1"/>
  <c r="A60" i="16"/>
  <c r="B60" i="16"/>
  <c r="A61" i="16"/>
  <c r="B61" i="16"/>
  <c r="A62" i="16"/>
  <c r="B62" i="16"/>
  <c r="A63" i="16"/>
  <c r="B63" i="16"/>
  <c r="A64" i="16"/>
  <c r="B64" i="16"/>
  <c r="A65" i="16"/>
  <c r="B65" i="16"/>
  <c r="A66" i="16"/>
  <c r="B66" i="16"/>
  <c r="A67" i="16"/>
  <c r="B67" i="16"/>
  <c r="A68" i="16"/>
  <c r="B68" i="16"/>
  <c r="A69" i="16"/>
  <c r="B69" i="16"/>
  <c r="A70" i="16"/>
  <c r="B70" i="16"/>
  <c r="B2" i="16"/>
  <c r="I3" i="16" s="1"/>
  <c r="A2" i="16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L15" i="14" s="1"/>
  <c r="A16" i="14"/>
  <c r="B16" i="14"/>
  <c r="J16" i="14" s="1"/>
  <c r="A17" i="14"/>
  <c r="B17" i="14"/>
  <c r="J17" i="14" s="1"/>
  <c r="A18" i="14"/>
  <c r="B18" i="14"/>
  <c r="L18" i="14" s="1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K30" i="14" s="1"/>
  <c r="A31" i="14"/>
  <c r="B31" i="14"/>
  <c r="K31" i="14" s="1"/>
  <c r="A32" i="14"/>
  <c r="B32" i="14"/>
  <c r="K32" i="14" s="1"/>
  <c r="A33" i="14"/>
  <c r="B33" i="14"/>
  <c r="A34" i="14"/>
  <c r="B34" i="14"/>
  <c r="A35" i="14"/>
  <c r="B35" i="14"/>
  <c r="L35" i="14" s="1"/>
  <c r="A36" i="14"/>
  <c r="B36" i="14"/>
  <c r="K36" i="14" s="1"/>
  <c r="A37" i="14"/>
  <c r="B37" i="14"/>
  <c r="K37" i="14" s="1"/>
  <c r="A38" i="14"/>
  <c r="B38" i="14"/>
  <c r="K38" i="14" s="1"/>
  <c r="A39" i="14"/>
  <c r="B39" i="14"/>
  <c r="A40" i="14"/>
  <c r="B40" i="14"/>
  <c r="A41" i="14"/>
  <c r="B41" i="14"/>
  <c r="K42" i="14" s="1"/>
  <c r="A42" i="14"/>
  <c r="B42" i="14"/>
  <c r="I43" i="14" s="1"/>
  <c r="A43" i="14"/>
  <c r="B43" i="14"/>
  <c r="J43" i="14" s="1"/>
  <c r="A44" i="14"/>
  <c r="B44" i="14"/>
  <c r="A45" i="14"/>
  <c r="B45" i="14"/>
  <c r="I45" i="14" s="1"/>
  <c r="A46" i="14"/>
  <c r="B46" i="14"/>
  <c r="K46" i="14" s="1"/>
  <c r="A47" i="14"/>
  <c r="B47" i="14"/>
  <c r="A48" i="14"/>
  <c r="B48" i="14"/>
  <c r="A49" i="14"/>
  <c r="B49" i="14"/>
  <c r="A50" i="14"/>
  <c r="B50" i="14"/>
  <c r="I50" i="14" s="1"/>
  <c r="A51" i="14"/>
  <c r="B51" i="14"/>
  <c r="L51" i="14" s="1"/>
  <c r="A52" i="14"/>
  <c r="B52" i="14"/>
  <c r="A53" i="14"/>
  <c r="B53" i="14"/>
  <c r="A54" i="14"/>
  <c r="B54" i="14"/>
  <c r="A55" i="14"/>
  <c r="B55" i="14"/>
  <c r="A56" i="14"/>
  <c r="B56" i="14"/>
  <c r="L56" i="14" s="1"/>
  <c r="A57" i="14"/>
  <c r="B57" i="14"/>
  <c r="L57" i="14" s="1"/>
  <c r="A58" i="14"/>
  <c r="B58" i="14"/>
  <c r="I58" i="14" s="1"/>
  <c r="A59" i="14"/>
  <c r="B59" i="14"/>
  <c r="A60" i="14"/>
  <c r="B60" i="14"/>
  <c r="I60" i="14" s="1"/>
  <c r="A61" i="14"/>
  <c r="B61" i="14"/>
  <c r="A62" i="14"/>
  <c r="B62" i="14"/>
  <c r="A63" i="14"/>
  <c r="B63" i="14"/>
  <c r="A64" i="14"/>
  <c r="B64" i="14"/>
  <c r="A65" i="14"/>
  <c r="B65" i="14"/>
  <c r="A66" i="14"/>
  <c r="B66" i="14"/>
  <c r="L66" i="14" s="1"/>
  <c r="A67" i="14"/>
  <c r="B67" i="14"/>
  <c r="A68" i="14"/>
  <c r="B68" i="14"/>
  <c r="A69" i="14"/>
  <c r="B69" i="14"/>
  <c r="B2" i="14"/>
  <c r="A2" i="14"/>
  <c r="A3" i="13"/>
  <c r="B3" i="13"/>
  <c r="A4" i="13"/>
  <c r="B4" i="13"/>
  <c r="A5" i="13"/>
  <c r="B5" i="13"/>
  <c r="A6" i="13"/>
  <c r="B6" i="13"/>
  <c r="A7" i="13"/>
  <c r="B7" i="13"/>
  <c r="A8" i="13"/>
  <c r="B8" i="13"/>
  <c r="A9" i="13"/>
  <c r="B9" i="13"/>
  <c r="A10" i="13"/>
  <c r="B10" i="13"/>
  <c r="A11" i="13"/>
  <c r="B11" i="13"/>
  <c r="A12" i="13"/>
  <c r="B12" i="13"/>
  <c r="A13" i="13"/>
  <c r="B13" i="13"/>
  <c r="A14" i="13"/>
  <c r="B14" i="13"/>
  <c r="A15" i="13"/>
  <c r="B15" i="13"/>
  <c r="K15" i="13" s="1"/>
  <c r="A16" i="13"/>
  <c r="B16" i="13"/>
  <c r="A17" i="13"/>
  <c r="B17" i="13"/>
  <c r="A18" i="13"/>
  <c r="B18" i="13"/>
  <c r="A19" i="13"/>
  <c r="B19" i="13"/>
  <c r="A20" i="13"/>
  <c r="B20" i="13"/>
  <c r="A21" i="13"/>
  <c r="B21" i="13"/>
  <c r="A22" i="13"/>
  <c r="B22" i="13"/>
  <c r="A23" i="13"/>
  <c r="B23" i="13"/>
  <c r="A24" i="13"/>
  <c r="B24" i="13"/>
  <c r="I24" i="13" s="1"/>
  <c r="A25" i="13"/>
  <c r="B25" i="13"/>
  <c r="J25" i="13" s="1"/>
  <c r="A26" i="13"/>
  <c r="B26" i="13"/>
  <c r="A27" i="13"/>
  <c r="B27" i="13"/>
  <c r="A28" i="13"/>
  <c r="B28" i="13"/>
  <c r="A29" i="13"/>
  <c r="B29" i="13"/>
  <c r="A30" i="13"/>
  <c r="B30" i="13"/>
  <c r="A31" i="13"/>
  <c r="B31" i="13"/>
  <c r="A32" i="13"/>
  <c r="B32" i="13"/>
  <c r="L32" i="13" s="1"/>
  <c r="A33" i="13"/>
  <c r="B33" i="13"/>
  <c r="A34" i="13"/>
  <c r="B34" i="13"/>
  <c r="A35" i="13"/>
  <c r="B35" i="13"/>
  <c r="A36" i="13"/>
  <c r="B36" i="13"/>
  <c r="A37" i="13"/>
  <c r="B37" i="13"/>
  <c r="A38" i="13"/>
  <c r="B38" i="13"/>
  <c r="K38" i="13" s="1"/>
  <c r="A39" i="13"/>
  <c r="B39" i="13"/>
  <c r="K39" i="13" s="1"/>
  <c r="A40" i="13"/>
  <c r="B40" i="13"/>
  <c r="A41" i="13"/>
  <c r="B41" i="13"/>
  <c r="A42" i="13"/>
  <c r="B42" i="13"/>
  <c r="A43" i="13"/>
  <c r="B43" i="13"/>
  <c r="K43" i="13" s="1"/>
  <c r="A44" i="13"/>
  <c r="B44" i="13"/>
  <c r="K44" i="13" s="1"/>
  <c r="A45" i="13"/>
  <c r="B45" i="13"/>
  <c r="K45" i="13" s="1"/>
  <c r="A46" i="13"/>
  <c r="B46" i="13"/>
  <c r="K46" i="13" s="1"/>
  <c r="A47" i="13"/>
  <c r="B47" i="13"/>
  <c r="K48" i="13" s="1"/>
  <c r="A48" i="13"/>
  <c r="B48" i="13"/>
  <c r="L48" i="13" s="1"/>
  <c r="A49" i="13"/>
  <c r="B49" i="13"/>
  <c r="A50" i="13"/>
  <c r="B50" i="13"/>
  <c r="L50" i="13" s="1"/>
  <c r="A51" i="13"/>
  <c r="B51" i="13"/>
  <c r="A52" i="13"/>
  <c r="B52" i="13"/>
  <c r="K52" i="13" s="1"/>
  <c r="A53" i="13"/>
  <c r="B53" i="13"/>
  <c r="K53" i="13" s="1"/>
  <c r="A54" i="13"/>
  <c r="B54" i="13"/>
  <c r="K54" i="13" s="1"/>
  <c r="A55" i="13"/>
  <c r="B55" i="13"/>
  <c r="K55" i="13" s="1"/>
  <c r="A56" i="13"/>
  <c r="B56" i="13"/>
  <c r="K56" i="13" s="1"/>
  <c r="A57" i="13"/>
  <c r="B57" i="13"/>
  <c r="K57" i="13" s="1"/>
  <c r="A58" i="13"/>
  <c r="B58" i="13"/>
  <c r="A59" i="13"/>
  <c r="B59" i="13"/>
  <c r="A60" i="13"/>
  <c r="B60" i="13"/>
  <c r="A61" i="13"/>
  <c r="B61" i="13"/>
  <c r="A62" i="13"/>
  <c r="B62" i="13"/>
  <c r="K62" i="13" s="1"/>
  <c r="A63" i="13"/>
  <c r="B63" i="13"/>
  <c r="A64" i="13"/>
  <c r="B64" i="13"/>
  <c r="A65" i="13"/>
  <c r="B65" i="13"/>
  <c r="J65" i="13" s="1"/>
  <c r="A66" i="13"/>
  <c r="B66" i="13"/>
  <c r="J66" i="13" s="1"/>
  <c r="A67" i="13"/>
  <c r="B67" i="13"/>
  <c r="A68" i="13"/>
  <c r="B68" i="13"/>
  <c r="A69" i="13"/>
  <c r="B69" i="13"/>
  <c r="A70" i="13"/>
  <c r="B70" i="13"/>
  <c r="B2" i="13"/>
  <c r="A2" i="13"/>
  <c r="A3" i="12"/>
  <c r="B3" i="12"/>
  <c r="A4" i="12"/>
  <c r="B4" i="12"/>
  <c r="A5" i="12"/>
  <c r="B5" i="12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B12" i="12"/>
  <c r="A13" i="12"/>
  <c r="B13" i="12"/>
  <c r="A14" i="12"/>
  <c r="B14" i="12"/>
  <c r="A15" i="12"/>
  <c r="B15" i="12"/>
  <c r="L15" i="12" s="1"/>
  <c r="A16" i="12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J23" i="12" s="1"/>
  <c r="A24" i="12"/>
  <c r="B24" i="12"/>
  <c r="A25" i="12"/>
  <c r="B25" i="12"/>
  <c r="K25" i="12" s="1"/>
  <c r="A26" i="12"/>
  <c r="B26" i="12"/>
  <c r="A27" i="12"/>
  <c r="B27" i="12"/>
  <c r="A28" i="12"/>
  <c r="B28" i="12"/>
  <c r="A29" i="12"/>
  <c r="B29" i="12"/>
  <c r="A30" i="12"/>
  <c r="B30" i="12"/>
  <c r="A31" i="12"/>
  <c r="B31" i="12"/>
  <c r="L31" i="12" s="1"/>
  <c r="A32" i="12"/>
  <c r="B32" i="12"/>
  <c r="A33" i="12"/>
  <c r="B33" i="12"/>
  <c r="A34" i="12"/>
  <c r="B34" i="12"/>
  <c r="A35" i="12"/>
  <c r="B35" i="12"/>
  <c r="A36" i="12"/>
  <c r="B36" i="12"/>
  <c r="K36" i="12" s="1"/>
  <c r="A37" i="12"/>
  <c r="B37" i="12"/>
  <c r="A38" i="12"/>
  <c r="B38" i="12"/>
  <c r="K38" i="12" s="1"/>
  <c r="A39" i="12"/>
  <c r="B39" i="12"/>
  <c r="J39" i="12" s="1"/>
  <c r="A40" i="12"/>
  <c r="B40" i="12"/>
  <c r="A41" i="12"/>
  <c r="B41" i="12"/>
  <c r="A42" i="12"/>
  <c r="B42" i="12"/>
  <c r="I42" i="12" s="1"/>
  <c r="A43" i="12"/>
  <c r="B43" i="12"/>
  <c r="A44" i="12"/>
  <c r="B44" i="12"/>
  <c r="A45" i="12"/>
  <c r="B45" i="12"/>
  <c r="A46" i="12"/>
  <c r="B46" i="12"/>
  <c r="A47" i="12"/>
  <c r="B47" i="12"/>
  <c r="J47" i="12" s="1"/>
  <c r="A48" i="12"/>
  <c r="B48" i="12"/>
  <c r="A49" i="12"/>
  <c r="B49" i="12"/>
  <c r="A50" i="12"/>
  <c r="B50" i="12"/>
  <c r="J50" i="12" s="1"/>
  <c r="A51" i="12"/>
  <c r="B51" i="12"/>
  <c r="A52" i="12"/>
  <c r="B52" i="12"/>
  <c r="K52" i="12" s="1"/>
  <c r="A53" i="12"/>
  <c r="B53" i="12"/>
  <c r="A54" i="12"/>
  <c r="B54" i="12"/>
  <c r="A55" i="12"/>
  <c r="B55" i="12"/>
  <c r="J55" i="12" s="1"/>
  <c r="A56" i="12"/>
  <c r="B56" i="12"/>
  <c r="A57" i="12"/>
  <c r="B57" i="12"/>
  <c r="K57" i="12" s="1"/>
  <c r="A58" i="12"/>
  <c r="B58" i="12"/>
  <c r="A59" i="12"/>
  <c r="B59" i="12"/>
  <c r="A60" i="12"/>
  <c r="B60" i="12"/>
  <c r="A61" i="12"/>
  <c r="B61" i="12"/>
  <c r="A62" i="12"/>
  <c r="B62" i="12"/>
  <c r="K62" i="12" s="1"/>
  <c r="A63" i="12"/>
  <c r="B63" i="12"/>
  <c r="A64" i="12"/>
  <c r="B64" i="12"/>
  <c r="A65" i="12"/>
  <c r="B65" i="12"/>
  <c r="A66" i="12"/>
  <c r="B66" i="12"/>
  <c r="L66" i="12" s="1"/>
  <c r="A67" i="12"/>
  <c r="B67" i="12"/>
  <c r="A68" i="12"/>
  <c r="B68" i="12"/>
  <c r="K68" i="12" s="1"/>
  <c r="A69" i="12"/>
  <c r="B69" i="12"/>
  <c r="A70" i="12"/>
  <c r="B70" i="12"/>
  <c r="K70" i="12" s="1"/>
  <c r="A71" i="12"/>
  <c r="B71" i="12"/>
  <c r="J71" i="12" s="1"/>
  <c r="A72" i="12"/>
  <c r="B72" i="12"/>
  <c r="B2" i="12"/>
  <c r="A2" i="12"/>
  <c r="E16" i="1"/>
  <c r="E15" i="1"/>
  <c r="D16" i="1"/>
  <c r="D15" i="1"/>
  <c r="B6" i="18"/>
  <c r="B7" i="18" s="1"/>
  <c r="C6" i="18"/>
  <c r="D6" i="18"/>
  <c r="E6" i="18"/>
  <c r="E7" i="18" s="1"/>
  <c r="F6" i="18"/>
  <c r="F7" i="18" s="1"/>
  <c r="C7" i="18"/>
  <c r="D7" i="18"/>
  <c r="H7" i="18"/>
  <c r="D17" i="1" s="1"/>
  <c r="I7" i="18"/>
  <c r="E17" i="1" s="1"/>
  <c r="L16" i="12"/>
  <c r="L17" i="12"/>
  <c r="L19" i="12"/>
  <c r="L20" i="12"/>
  <c r="L21" i="12"/>
  <c r="L23" i="12"/>
  <c r="L24" i="12"/>
  <c r="L28" i="12"/>
  <c r="L32" i="12"/>
  <c r="L33" i="12"/>
  <c r="L34" i="12"/>
  <c r="L35" i="12"/>
  <c r="L27" i="13"/>
  <c r="L28" i="13"/>
  <c r="L29" i="13"/>
  <c r="L31" i="13"/>
  <c r="L43" i="13"/>
  <c r="L44" i="13"/>
  <c r="L45" i="13"/>
  <c r="L47" i="13"/>
  <c r="L59" i="13"/>
  <c r="L60" i="13"/>
  <c r="L61" i="13"/>
  <c r="L63" i="13"/>
  <c r="L14" i="13"/>
  <c r="K5" i="13"/>
  <c r="K6" i="13"/>
  <c r="K7" i="13"/>
  <c r="K8" i="13"/>
  <c r="K9" i="13"/>
  <c r="K11" i="13"/>
  <c r="K12" i="13"/>
  <c r="K13" i="13"/>
  <c r="K14" i="13"/>
  <c r="K20" i="13"/>
  <c r="K21" i="13"/>
  <c r="K22" i="13"/>
  <c r="K23" i="13"/>
  <c r="K24" i="13"/>
  <c r="K25" i="13"/>
  <c r="K27" i="13"/>
  <c r="K28" i="13"/>
  <c r="K29" i="13"/>
  <c r="K30" i="13"/>
  <c r="K36" i="13"/>
  <c r="K37" i="13"/>
  <c r="K4" i="13"/>
  <c r="J16" i="13"/>
  <c r="J17" i="13"/>
  <c r="J18" i="13"/>
  <c r="J31" i="13"/>
  <c r="J32" i="13"/>
  <c r="J33" i="13"/>
  <c r="J34" i="13"/>
  <c r="J47" i="13"/>
  <c r="J48" i="13"/>
  <c r="J49" i="13"/>
  <c r="J50" i="13"/>
  <c r="I5" i="13"/>
  <c r="I6" i="13"/>
  <c r="I12" i="13"/>
  <c r="I13" i="13"/>
  <c r="I14" i="13"/>
  <c r="I15" i="13"/>
  <c r="I20" i="13"/>
  <c r="I21" i="13"/>
  <c r="I22" i="13"/>
  <c r="I28" i="13"/>
  <c r="I29" i="13"/>
  <c r="I30" i="13"/>
  <c r="I31" i="13"/>
  <c r="I36" i="13"/>
  <c r="I37" i="13"/>
  <c r="I38" i="13"/>
  <c r="I44" i="13"/>
  <c r="I45" i="13"/>
  <c r="I46" i="13"/>
  <c r="I47" i="13"/>
  <c r="I52" i="13"/>
  <c r="I53" i="13"/>
  <c r="I54" i="13"/>
  <c r="I60" i="13"/>
  <c r="I61" i="13"/>
  <c r="I62" i="13"/>
  <c r="I63" i="13"/>
  <c r="I4" i="13"/>
  <c r="K5" i="14"/>
  <c r="K6" i="14"/>
  <c r="K7" i="14"/>
  <c r="K8" i="14"/>
  <c r="K9" i="14"/>
  <c r="K11" i="14"/>
  <c r="K14" i="14"/>
  <c r="K15" i="14"/>
  <c r="K20" i="14"/>
  <c r="K21" i="14"/>
  <c r="K22" i="14"/>
  <c r="K23" i="14"/>
  <c r="K4" i="14"/>
  <c r="L19" i="14"/>
  <c r="L23" i="14"/>
  <c r="L31" i="14"/>
  <c r="L32" i="14"/>
  <c r="J23" i="14"/>
  <c r="J24" i="14"/>
  <c r="J25" i="14"/>
  <c r="J27" i="14"/>
  <c r="J31" i="14"/>
  <c r="J15" i="14"/>
  <c r="I4" i="14"/>
  <c r="I5" i="14"/>
  <c r="I6" i="14"/>
  <c r="I7" i="14"/>
  <c r="I12" i="14"/>
  <c r="I13" i="14"/>
  <c r="I14" i="14"/>
  <c r="I20" i="14"/>
  <c r="I21" i="14"/>
  <c r="I22" i="14"/>
  <c r="I23" i="14"/>
  <c r="I28" i="14"/>
  <c r="I29" i="14"/>
  <c r="I30" i="14"/>
  <c r="I33" i="14"/>
  <c r="I34" i="14"/>
  <c r="I36" i="14"/>
  <c r="I37" i="14"/>
  <c r="I38" i="14"/>
  <c r="I39" i="14"/>
  <c r="I44" i="14"/>
  <c r="I46" i="14"/>
  <c r="K5" i="16"/>
  <c r="K6" i="16"/>
  <c r="K4" i="16"/>
  <c r="I4" i="16"/>
  <c r="I5" i="16"/>
  <c r="I12" i="16"/>
  <c r="I13" i="16"/>
  <c r="I14" i="16"/>
  <c r="I15" i="16"/>
  <c r="I16" i="16"/>
  <c r="I60" i="16"/>
  <c r="K11" i="15"/>
  <c r="M75" i="12" l="1" a="1"/>
  <c r="N75" i="12" a="1"/>
  <c r="M76" i="12" a="1"/>
  <c r="N76" i="12" a="1"/>
  <c r="N77" i="12" a="1"/>
  <c r="N78" i="12" a="1"/>
  <c r="M77" i="12" a="1"/>
  <c r="J73" i="12"/>
  <c r="K73" i="12"/>
  <c r="L73" i="12"/>
  <c r="I8" i="12"/>
  <c r="M9" i="12" a="1"/>
  <c r="N72" i="12" a="1"/>
  <c r="M47" i="12" a="1"/>
  <c r="N16" i="12" a="1"/>
  <c r="N40" i="12" a="1"/>
  <c r="I59" i="12"/>
  <c r="N15" i="12" a="1"/>
  <c r="M78" i="12" a="1"/>
  <c r="J74" i="12"/>
  <c r="K74" i="12"/>
  <c r="L74" i="12"/>
  <c r="M74" i="12" a="1"/>
  <c r="M73" i="12" a="1"/>
  <c r="N73" i="12" a="1"/>
  <c r="L14" i="12"/>
  <c r="N36" i="12" a="1"/>
  <c r="N62" i="12" a="1"/>
  <c r="J24" i="12"/>
  <c r="L25" i="12"/>
  <c r="J56" i="12"/>
  <c r="L22" i="12"/>
  <c r="J38" i="12"/>
  <c r="L41" i="12"/>
  <c r="L57" i="12"/>
  <c r="N69" i="12" a="1"/>
  <c r="J72" i="12"/>
  <c r="L36" i="12"/>
  <c r="L37" i="12"/>
  <c r="L39" i="12"/>
  <c r="L40" i="12"/>
  <c r="L44" i="12"/>
  <c r="L48" i="12"/>
  <c r="L49" i="12"/>
  <c r="L51" i="12"/>
  <c r="L52" i="12"/>
  <c r="L53" i="12"/>
  <c r="L55" i="12"/>
  <c r="L56" i="12"/>
  <c r="L60" i="12"/>
  <c r="L64" i="12"/>
  <c r="L65" i="12"/>
  <c r="L67" i="12"/>
  <c r="L68" i="12"/>
  <c r="L69" i="12"/>
  <c r="L71" i="12"/>
  <c r="L72" i="12"/>
  <c r="K5" i="12"/>
  <c r="K12" i="12"/>
  <c r="K13" i="12"/>
  <c r="K15" i="12"/>
  <c r="K16" i="12"/>
  <c r="K17" i="12"/>
  <c r="K21" i="12"/>
  <c r="K28" i="12"/>
  <c r="K29" i="12"/>
  <c r="K31" i="12"/>
  <c r="K32" i="12"/>
  <c r="K33" i="12"/>
  <c r="K37" i="12"/>
  <c r="K44" i="12"/>
  <c r="K45" i="12"/>
  <c r="K47" i="12"/>
  <c r="K48" i="12"/>
  <c r="K49" i="12"/>
  <c r="K53" i="12"/>
  <c r="K60" i="12"/>
  <c r="K61" i="12"/>
  <c r="K63" i="12"/>
  <c r="K64" i="12"/>
  <c r="K65" i="12"/>
  <c r="K69" i="12"/>
  <c r="K4" i="12"/>
  <c r="K3" i="12"/>
  <c r="J16" i="12"/>
  <c r="J17" i="12"/>
  <c r="J20" i="12"/>
  <c r="J21" i="12"/>
  <c r="J28" i="12"/>
  <c r="J32" i="12"/>
  <c r="J33" i="12"/>
  <c r="J34" i="12"/>
  <c r="J36" i="12"/>
  <c r="J37" i="12"/>
  <c r="J44" i="12"/>
  <c r="J48" i="12"/>
  <c r="J49" i="12"/>
  <c r="J52" i="12"/>
  <c r="J53" i="12"/>
  <c r="J60" i="12"/>
  <c r="J64" i="12"/>
  <c r="J65" i="12"/>
  <c r="J68" i="12"/>
  <c r="J69" i="12"/>
  <c r="I5" i="12"/>
  <c r="I9" i="12"/>
  <c r="I12" i="12"/>
  <c r="I13" i="12"/>
  <c r="I14" i="12"/>
  <c r="I15" i="12"/>
  <c r="I16" i="12"/>
  <c r="I20" i="12"/>
  <c r="I21" i="12"/>
  <c r="I25" i="12"/>
  <c r="I28" i="12"/>
  <c r="I75" i="12"/>
  <c r="J75" i="12"/>
  <c r="K75" i="12"/>
  <c r="L75" i="12"/>
  <c r="I29" i="12"/>
  <c r="I30" i="12"/>
  <c r="I31" i="12"/>
  <c r="I32" i="12"/>
  <c r="I36" i="12"/>
  <c r="I37" i="12"/>
  <c r="I41" i="12"/>
  <c r="I44" i="12"/>
  <c r="I45" i="12"/>
  <c r="I46" i="12"/>
  <c r="I47" i="12"/>
  <c r="I48" i="12"/>
  <c r="I52" i="12"/>
  <c r="I53" i="12"/>
  <c r="I57" i="12"/>
  <c r="I60" i="12"/>
  <c r="I61" i="12"/>
  <c r="I62" i="12"/>
  <c r="I63" i="12"/>
  <c r="I64" i="12"/>
  <c r="I68" i="12"/>
  <c r="I69" i="12"/>
  <c r="I4" i="12"/>
  <c r="I3" i="12"/>
  <c r="N74" i="12" a="1"/>
  <c r="I74" i="12"/>
  <c r="J76" i="12"/>
  <c r="L76" i="12"/>
  <c r="N69" i="15" a="1"/>
  <c r="N36" i="15" a="1"/>
  <c r="M60" i="15" a="1"/>
  <c r="L21" i="15"/>
  <c r="N67" i="15" a="1"/>
  <c r="N11" i="15" a="1"/>
  <c r="L27" i="15"/>
  <c r="M16" i="15" a="1"/>
  <c r="N17" i="15" a="1"/>
  <c r="N18" i="15" a="1"/>
  <c r="N19" i="15" a="1"/>
  <c r="N21" i="15" a="1"/>
  <c r="N31" i="15" a="1"/>
  <c r="N26" i="15" a="1"/>
  <c r="N34" i="15" a="1"/>
  <c r="N37" i="15" a="1"/>
  <c r="N39" i="15" a="1"/>
  <c r="N40" i="15" a="1"/>
  <c r="K59" i="15"/>
  <c r="N59" i="15" a="1"/>
  <c r="L37" i="15"/>
  <c r="N27" i="15" a="1"/>
  <c r="N56" i="15" a="1"/>
  <c r="L54" i="15"/>
  <c r="N43" i="15" a="1"/>
  <c r="L59" i="15"/>
  <c r="M48" i="15" a="1"/>
  <c r="L61" i="15"/>
  <c r="N50" i="15" a="1"/>
  <c r="N51" i="15" a="1"/>
  <c r="N54" i="15" a="1"/>
  <c r="N55" i="15" a="1"/>
  <c r="N70" i="15" a="1"/>
  <c r="L41" i="15"/>
  <c r="I41" i="15"/>
  <c r="J54" i="15"/>
  <c r="K54" i="15"/>
  <c r="N16" i="15" a="1"/>
  <c r="N30" i="15" a="1"/>
  <c r="N48" i="15" a="1"/>
  <c r="N66" i="15" a="1"/>
  <c r="N33" i="15" a="1"/>
  <c r="N49" i="15" a="1"/>
  <c r="N65" i="15" a="1"/>
  <c r="I56" i="15"/>
  <c r="J56" i="15"/>
  <c r="K56" i="15"/>
  <c r="J71" i="15"/>
  <c r="L71" i="15"/>
  <c r="J72" i="15"/>
  <c r="L72" i="15"/>
  <c r="J73" i="15"/>
  <c r="L73" i="15"/>
  <c r="I62" i="15"/>
  <c r="J74" i="15"/>
  <c r="L74" i="15"/>
  <c r="L75" i="15"/>
  <c r="J75" i="15"/>
  <c r="M63" i="15" a="1"/>
  <c r="M64" i="15" a="1"/>
  <c r="J76" i="15"/>
  <c r="L76" i="15"/>
  <c r="L77" i="15"/>
  <c r="J77" i="15"/>
  <c r="K71" i="15"/>
  <c r="K70" i="15"/>
  <c r="I71" i="15"/>
  <c r="M71" i="15" a="1"/>
  <c r="M77" i="15" a="1"/>
  <c r="N76" i="15" a="1"/>
  <c r="N75" i="15" a="1"/>
  <c r="M75" i="15" a="1"/>
  <c r="N74" i="15" a="1"/>
  <c r="N73" i="15" a="1"/>
  <c r="M73" i="15" a="1"/>
  <c r="N72" i="15" a="1"/>
  <c r="N71" i="15" a="1"/>
  <c r="N77" i="15" a="1"/>
  <c r="M72" i="15" a="1"/>
  <c r="M74" i="15" a="1"/>
  <c r="M76" i="15" a="1"/>
  <c r="N42" i="16" a="1"/>
  <c r="K3" i="16"/>
  <c r="N21" i="16" a="1"/>
  <c r="M6" i="16" a="1"/>
  <c r="M20" i="16" a="1"/>
  <c r="N37" i="16" a="1"/>
  <c r="N8" i="16" a="1"/>
  <c r="M14" i="16" a="1"/>
  <c r="N9" i="16" a="1"/>
  <c r="N40" i="16" a="1"/>
  <c r="J22" i="16"/>
  <c r="N12" i="16" a="1"/>
  <c r="L14" i="16"/>
  <c r="J27" i="16"/>
  <c r="N16" i="16" a="1"/>
  <c r="L28" i="16"/>
  <c r="M18" i="16" a="1"/>
  <c r="K20" i="16"/>
  <c r="N20" i="16" a="1"/>
  <c r="J42" i="16"/>
  <c r="J43" i="16"/>
  <c r="M32" i="16" a="1"/>
  <c r="M33" i="16" a="1"/>
  <c r="M34" i="16" a="1"/>
  <c r="K36" i="16"/>
  <c r="M36" i="16" a="1"/>
  <c r="N44" i="16" a="1"/>
  <c r="K52" i="16"/>
  <c r="N68" i="16" a="1"/>
  <c r="N57" i="16" a="1"/>
  <c r="L58" i="16"/>
  <c r="N59" i="16" a="1"/>
  <c r="M60" i="16" a="1"/>
  <c r="N62" i="16" a="1"/>
  <c r="M63" i="16" a="1"/>
  <c r="M46" i="16" a="1"/>
  <c r="N56" i="16" a="1"/>
  <c r="N69" i="16" a="1"/>
  <c r="I72" i="16"/>
  <c r="K72" i="16"/>
  <c r="N71" i="16" a="1"/>
  <c r="I7" i="16"/>
  <c r="N7" i="16" a="1"/>
  <c r="J14" i="16"/>
  <c r="K14" i="16"/>
  <c r="L15" i="16"/>
  <c r="K15" i="16"/>
  <c r="K16" i="16"/>
  <c r="L16" i="16"/>
  <c r="L17" i="16"/>
  <c r="K17" i="16"/>
  <c r="J19" i="16"/>
  <c r="N19" i="16" a="1"/>
  <c r="K19" i="16"/>
  <c r="L19" i="16"/>
  <c r="L20" i="16"/>
  <c r="I20" i="16"/>
  <c r="J20" i="16"/>
  <c r="L21" i="16"/>
  <c r="K21" i="16"/>
  <c r="I21" i="16"/>
  <c r="I22" i="16"/>
  <c r="K22" i="16"/>
  <c r="I23" i="16"/>
  <c r="L23" i="16"/>
  <c r="J23" i="16"/>
  <c r="L24" i="16"/>
  <c r="J24" i="16"/>
  <c r="L25" i="16"/>
  <c r="J25" i="16"/>
  <c r="I28" i="16"/>
  <c r="K28" i="16"/>
  <c r="J28" i="16"/>
  <c r="I29" i="16"/>
  <c r="K29" i="16"/>
  <c r="K30" i="16"/>
  <c r="I30" i="16"/>
  <c r="N31" i="16" a="1"/>
  <c r="K31" i="16"/>
  <c r="I31" i="16"/>
  <c r="L32" i="16"/>
  <c r="K32" i="16"/>
  <c r="I32" i="16"/>
  <c r="L35" i="16"/>
  <c r="J35" i="16"/>
  <c r="K35" i="16"/>
  <c r="L36" i="16"/>
  <c r="J36" i="16"/>
  <c r="I36" i="16"/>
  <c r="L37" i="16"/>
  <c r="K37" i="16"/>
  <c r="I37" i="16"/>
  <c r="I38" i="16"/>
  <c r="K38" i="16"/>
  <c r="I39" i="16"/>
  <c r="L39" i="16"/>
  <c r="J39" i="16"/>
  <c r="L40" i="16"/>
  <c r="J40" i="16"/>
  <c r="L41" i="16"/>
  <c r="J41" i="16"/>
  <c r="I43" i="16"/>
  <c r="N43" i="16" a="1"/>
  <c r="K44" i="16"/>
  <c r="J44" i="16"/>
  <c r="I44" i="16"/>
  <c r="K45" i="16"/>
  <c r="J57" i="16"/>
  <c r="I45" i="16"/>
  <c r="K46" i="16"/>
  <c r="I46" i="16"/>
  <c r="J59" i="16"/>
  <c r="K47" i="16"/>
  <c r="I47" i="16"/>
  <c r="L60" i="16"/>
  <c r="K48" i="16"/>
  <c r="L48" i="16"/>
  <c r="I48" i="16"/>
  <c r="L49" i="16"/>
  <c r="K49" i="16"/>
  <c r="K51" i="16"/>
  <c r="J51" i="16"/>
  <c r="L51" i="16"/>
  <c r="L52" i="16"/>
  <c r="J52" i="16"/>
  <c r="I52" i="16"/>
  <c r="L53" i="16"/>
  <c r="K53" i="16"/>
  <c r="I53" i="16"/>
  <c r="I54" i="16"/>
  <c r="K54" i="16"/>
  <c r="I55" i="16"/>
  <c r="J55" i="16"/>
  <c r="L55" i="16"/>
  <c r="N55" i="16" a="1"/>
  <c r="K60" i="16"/>
  <c r="L72" i="16"/>
  <c r="J60" i="16"/>
  <c r="J72" i="16"/>
  <c r="K61" i="16"/>
  <c r="L73" i="16"/>
  <c r="J73" i="16"/>
  <c r="I61" i="16"/>
  <c r="K62" i="16"/>
  <c r="I62" i="16"/>
  <c r="J74" i="16"/>
  <c r="L74" i="16"/>
  <c r="I63" i="16"/>
  <c r="K63" i="16"/>
  <c r="L75" i="16"/>
  <c r="J75" i="16"/>
  <c r="J64" i="16"/>
  <c r="L64" i="16"/>
  <c r="I64" i="16"/>
  <c r="K64" i="16"/>
  <c r="J76" i="16"/>
  <c r="L76" i="16"/>
  <c r="L65" i="16"/>
  <c r="K65" i="16"/>
  <c r="N73" i="16" a="1"/>
  <c r="N72" i="16" a="1"/>
  <c r="M72" i="16" a="1"/>
  <c r="N74" i="16" a="1"/>
  <c r="N76" i="16" a="1"/>
  <c r="M5" i="16" a="1"/>
  <c r="N75" i="16" a="1"/>
  <c r="M74" i="16" a="1"/>
  <c r="M73" i="16" a="1"/>
  <c r="M75" i="16" a="1"/>
  <c r="M76" i="16" a="1"/>
  <c r="M71" i="16" a="1"/>
  <c r="J19" i="14"/>
  <c r="N59" i="14" a="1"/>
  <c r="J21" i="14"/>
  <c r="N39" i="14" a="1"/>
  <c r="K12" i="14"/>
  <c r="K13" i="14"/>
  <c r="K26" i="14"/>
  <c r="M26" i="14" a="1"/>
  <c r="J51" i="14"/>
  <c r="K41" i="14"/>
  <c r="K44" i="14"/>
  <c r="K45" i="14"/>
  <c r="N48" i="14" a="1"/>
  <c r="K28" i="14"/>
  <c r="K29" i="14"/>
  <c r="M32" i="14" a="1"/>
  <c r="J61" i="14"/>
  <c r="K60" i="14"/>
  <c r="K61" i="14"/>
  <c r="M20" i="14" a="1"/>
  <c r="M10" i="14" a="1"/>
  <c r="N76" i="14" a="1"/>
  <c r="E2" i="1"/>
  <c r="N40" i="14" a="1"/>
  <c r="M75" i="14" a="1"/>
  <c r="N73" i="14" a="1"/>
  <c r="M72" i="14" a="1"/>
  <c r="N72" i="14" a="1"/>
  <c r="M73" i="14" a="1"/>
  <c r="N74" i="14" a="1"/>
  <c r="M60" i="14" a="1"/>
  <c r="N61" i="14" a="1"/>
  <c r="M13" i="14" a="1"/>
  <c r="M38" i="14" a="1"/>
  <c r="M74" i="14" a="1"/>
  <c r="M76" i="14" a="1"/>
  <c r="N16" i="14" a="1"/>
  <c r="N62" i="14" a="1"/>
  <c r="M14" i="14" a="1"/>
  <c r="N75" i="14" a="1"/>
  <c r="K71" i="14"/>
  <c r="I71" i="14"/>
  <c r="L39" i="14"/>
  <c r="K39" i="14"/>
  <c r="J39" i="14"/>
  <c r="L47" i="14"/>
  <c r="K47" i="14"/>
  <c r="J47" i="14"/>
  <c r="J48" i="14"/>
  <c r="K48" i="14"/>
  <c r="J49" i="14"/>
  <c r="K49" i="14"/>
  <c r="K52" i="14"/>
  <c r="I52" i="14"/>
  <c r="K53" i="14"/>
  <c r="J53" i="14"/>
  <c r="I53" i="14"/>
  <c r="K54" i="14"/>
  <c r="I54" i="14"/>
  <c r="K55" i="14"/>
  <c r="L55" i="14"/>
  <c r="J55" i="14"/>
  <c r="I55" i="14"/>
  <c r="J59" i="14"/>
  <c r="L71" i="14"/>
  <c r="J71" i="14"/>
  <c r="L61" i="14"/>
  <c r="I61" i="14"/>
  <c r="K62" i="14"/>
  <c r="L62" i="14"/>
  <c r="I62" i="14"/>
  <c r="K63" i="14"/>
  <c r="L63" i="14"/>
  <c r="J63" i="14"/>
  <c r="K3" i="14"/>
  <c r="L14" i="14"/>
  <c r="J14" i="14"/>
  <c r="I3" i="14"/>
  <c r="M71" i="14" a="1"/>
  <c r="N71" i="14" a="1"/>
  <c r="K34" i="13"/>
  <c r="M37" i="13" a="1"/>
  <c r="M57" i="13" a="1"/>
  <c r="N29" i="13" a="1"/>
  <c r="N28" i="13" a="1"/>
  <c r="J19" i="13"/>
  <c r="N20" i="13" a="1"/>
  <c r="J20" i="13"/>
  <c r="N13" i="13" a="1"/>
  <c r="J21" i="13"/>
  <c r="N38" i="13" a="1"/>
  <c r="L22" i="13"/>
  <c r="N16" i="13" a="1"/>
  <c r="N19" i="13" a="1"/>
  <c r="N21" i="13" a="1"/>
  <c r="J35" i="13"/>
  <c r="L38" i="13"/>
  <c r="M31" i="13" a="1"/>
  <c r="L54" i="13"/>
  <c r="N43" i="13" a="1"/>
  <c r="K50" i="13"/>
  <c r="J67" i="13"/>
  <c r="M66" i="13" a="1"/>
  <c r="J46" i="13"/>
  <c r="J51" i="13"/>
  <c r="N40" i="13" a="1"/>
  <c r="N67" i="13" a="1"/>
  <c r="N52" i="13" a="1"/>
  <c r="M18" i="13" a="1"/>
  <c r="N54" i="13" a="1"/>
  <c r="M17" i="13" a="1"/>
  <c r="N22" i="13" a="1"/>
  <c r="N30" i="13" a="1"/>
  <c r="J68" i="13"/>
  <c r="N65" i="13" a="1"/>
  <c r="I41" i="13"/>
  <c r="K41" i="13"/>
  <c r="J71" i="13"/>
  <c r="K59" i="13"/>
  <c r="L71" i="13"/>
  <c r="L72" i="13"/>
  <c r="J72" i="13"/>
  <c r="K60" i="13"/>
  <c r="J73" i="13"/>
  <c r="L73" i="13"/>
  <c r="K61" i="13"/>
  <c r="K63" i="13"/>
  <c r="J63" i="13"/>
  <c r="L64" i="13"/>
  <c r="J64" i="13"/>
  <c r="K68" i="13"/>
  <c r="I68" i="13"/>
  <c r="K69" i="13"/>
  <c r="I69" i="13"/>
  <c r="K70" i="13"/>
  <c r="I70" i="13"/>
  <c r="K3" i="13"/>
  <c r="J14" i="13"/>
  <c r="I3" i="13"/>
  <c r="M72" i="13" a="1"/>
  <c r="N72" i="13" a="1"/>
  <c r="M73" i="13" a="1"/>
  <c r="M71" i="13" a="1"/>
  <c r="M74" i="13" a="1"/>
  <c r="N73" i="13" a="1"/>
  <c r="N71" i="13" a="1"/>
  <c r="N74" i="13" a="1"/>
  <c r="L70" i="13"/>
  <c r="I71" i="13"/>
  <c r="K71" i="13"/>
  <c r="I71" i="16"/>
  <c r="K71" i="16"/>
  <c r="I70" i="14"/>
  <c r="K66" i="14"/>
  <c r="K68" i="14"/>
  <c r="L67" i="14"/>
  <c r="K69" i="14"/>
  <c r="I68" i="14"/>
  <c r="K70" i="14"/>
  <c r="I69" i="14"/>
  <c r="D5" i="1"/>
  <c r="L69" i="16"/>
  <c r="K70" i="16"/>
  <c r="K69" i="16"/>
  <c r="I70" i="16"/>
  <c r="J68" i="16"/>
  <c r="I69" i="16"/>
  <c r="K68" i="16"/>
  <c r="L68" i="16"/>
  <c r="J67" i="16"/>
  <c r="I67" i="16"/>
  <c r="I68" i="16"/>
  <c r="L67" i="16"/>
  <c r="K67" i="16"/>
  <c r="N62" i="15" a="1"/>
  <c r="N29" i="15" a="1"/>
  <c r="N15" i="15" a="1"/>
  <c r="I59" i="15"/>
  <c r="N45" i="15" a="1"/>
  <c r="M22" i="15" a="1"/>
  <c r="L70" i="15"/>
  <c r="M8" i="15" a="1"/>
  <c r="I55" i="15"/>
  <c r="N9" i="15" a="1"/>
  <c r="N2" i="15" a="1"/>
  <c r="M19" i="15" a="1"/>
  <c r="M24" i="15" a="1"/>
  <c r="I26" i="15"/>
  <c r="N58" i="15" a="1"/>
  <c r="N42" i="15" a="1"/>
  <c r="N25" i="15" a="1"/>
  <c r="M34" i="15" a="1"/>
  <c r="N28" i="15" a="1"/>
  <c r="M53" i="15" a="1"/>
  <c r="I19" i="15"/>
  <c r="I25" i="15"/>
  <c r="L53" i="15"/>
  <c r="N57" i="15" a="1"/>
  <c r="N23" i="15" a="1"/>
  <c r="N63" i="15" a="1"/>
  <c r="N61" i="15" a="1"/>
  <c r="N10" i="15" a="1"/>
  <c r="K27" i="15"/>
  <c r="M52" i="15" a="1"/>
  <c r="L29" i="15"/>
  <c r="L42" i="15"/>
  <c r="N14" i="15" a="1"/>
  <c r="N20" i="15" a="1"/>
  <c r="L22" i="15"/>
  <c r="N47" i="15" a="1"/>
  <c r="N46" i="15" a="1"/>
  <c r="M28" i="15" a="1"/>
  <c r="N44" i="15" a="1"/>
  <c r="L38" i="15"/>
  <c r="K24" i="15"/>
  <c r="M6" i="15" a="1"/>
  <c r="M2" i="15" a="1"/>
  <c r="K43" i="15"/>
  <c r="M61" i="15" a="1"/>
  <c r="I58" i="15"/>
  <c r="N60" i="15" a="1"/>
  <c r="N38" i="15" a="1"/>
  <c r="I67" i="15"/>
  <c r="N68" i="15" a="1"/>
  <c r="N35" i="15" a="1"/>
  <c r="M37" i="15" a="1"/>
  <c r="N8" i="15" a="1"/>
  <c r="N7" i="15" a="1"/>
  <c r="N6" i="15" a="1"/>
  <c r="N5" i="15" a="1"/>
  <c r="N3" i="15" a="1"/>
  <c r="N24" i="15" a="1"/>
  <c r="N4" i="15" a="1"/>
  <c r="N64" i="15" a="1"/>
  <c r="N53" i="15" a="1"/>
  <c r="N32" i="15" a="1"/>
  <c r="N13" i="15" a="1"/>
  <c r="N52" i="15" a="1"/>
  <c r="N41" i="15" a="1"/>
  <c r="N22" i="15" a="1"/>
  <c r="N12" i="15" a="1"/>
  <c r="M31" i="16" a="1"/>
  <c r="M4" i="16" a="1"/>
  <c r="I19" i="16"/>
  <c r="N67" i="16" a="1"/>
  <c r="J54" i="16"/>
  <c r="M29" i="16" a="1"/>
  <c r="N5" i="16" a="1"/>
  <c r="I65" i="16"/>
  <c r="I49" i="16"/>
  <c r="I33" i="16"/>
  <c r="I17" i="16"/>
  <c r="J69" i="16"/>
  <c r="J53" i="16"/>
  <c r="J37" i="16"/>
  <c r="J21" i="16"/>
  <c r="M70" i="16" a="1"/>
  <c r="M56" i="16" a="1"/>
  <c r="M42" i="16" a="1"/>
  <c r="M28" i="16" a="1"/>
  <c r="M15" i="16" a="1"/>
  <c r="N65" i="16" a="1"/>
  <c r="N52" i="16" a="1"/>
  <c r="N39" i="16" a="1"/>
  <c r="N29" i="16" a="1"/>
  <c r="N4" i="16" a="1"/>
  <c r="M30" i="16" a="1"/>
  <c r="M27" i="16" a="1"/>
  <c r="M68" i="16" a="1"/>
  <c r="M11" i="16" a="1"/>
  <c r="N49" i="16" a="1"/>
  <c r="J32" i="16"/>
  <c r="J16" i="16"/>
  <c r="K42" i="16"/>
  <c r="K26" i="16"/>
  <c r="K10" i="16"/>
  <c r="L62" i="16"/>
  <c r="L46" i="16"/>
  <c r="L30" i="16"/>
  <c r="M66" i="16" a="1"/>
  <c r="N48" i="16" a="1"/>
  <c r="M44" i="16" a="1"/>
  <c r="N64" i="16" a="1"/>
  <c r="M53" i="16" a="1"/>
  <c r="M24" i="16" a="1"/>
  <c r="N35" i="16" a="1"/>
  <c r="N25" i="16" a="1"/>
  <c r="K57" i="16"/>
  <c r="M65" i="16" a="1"/>
  <c r="M37" i="16" a="1"/>
  <c r="M23" i="16" a="1"/>
  <c r="M9" i="16" a="1"/>
  <c r="N60" i="16" a="1"/>
  <c r="N47" i="16" a="1"/>
  <c r="N34" i="16" a="1"/>
  <c r="N24" i="16" a="1"/>
  <c r="N11" i="16" a="1"/>
  <c r="K66" i="16"/>
  <c r="K50" i="16"/>
  <c r="K34" i="16"/>
  <c r="L54" i="16"/>
  <c r="L38" i="16"/>
  <c r="L22" i="16"/>
  <c r="M58" i="16" a="1"/>
  <c r="N54" i="16" a="1"/>
  <c r="I35" i="16"/>
  <c r="M3" i="16" a="1"/>
  <c r="N41" i="16" a="1"/>
  <c r="I66" i="16"/>
  <c r="I34" i="16"/>
  <c r="I18" i="16"/>
  <c r="J70" i="16"/>
  <c r="D12" i="1" s="1"/>
  <c r="J38" i="16"/>
  <c r="M2" i="16" a="1"/>
  <c r="N66" i="16" a="1"/>
  <c r="L50" i="16"/>
  <c r="N28" i="16" a="1"/>
  <c r="M54" i="16" a="1"/>
  <c r="N15" i="16" a="1"/>
  <c r="J66" i="16"/>
  <c r="J34" i="16"/>
  <c r="N14" i="16" a="1"/>
  <c r="J65" i="16"/>
  <c r="K59" i="16"/>
  <c r="L47" i="16"/>
  <c r="M67" i="16" a="1"/>
  <c r="M39" i="16" a="1"/>
  <c r="N13" i="16" a="1"/>
  <c r="J48" i="16"/>
  <c r="K58" i="16"/>
  <c r="N61" i="16" a="1"/>
  <c r="I59" i="16"/>
  <c r="J63" i="16"/>
  <c r="J47" i="16"/>
  <c r="J31" i="16"/>
  <c r="J15" i="16"/>
  <c r="K41" i="16"/>
  <c r="K25" i="16"/>
  <c r="K9" i="16"/>
  <c r="L61" i="16"/>
  <c r="L45" i="16"/>
  <c r="L29" i="16"/>
  <c r="M50" i="16" a="1"/>
  <c r="I58" i="16"/>
  <c r="I42" i="16"/>
  <c r="I26" i="16"/>
  <c r="I10" i="16"/>
  <c r="J62" i="16"/>
  <c r="J46" i="16"/>
  <c r="J30" i="16"/>
  <c r="K56" i="16"/>
  <c r="K40" i="16"/>
  <c r="K24" i="16"/>
  <c r="K8" i="16"/>
  <c r="L44" i="16"/>
  <c r="M64" i="16" a="1"/>
  <c r="M22" i="16" a="1"/>
  <c r="M8" i="16" a="1"/>
  <c r="N23" i="16" a="1"/>
  <c r="N10" i="16" a="1"/>
  <c r="L70" i="16"/>
  <c r="D11" i="1" s="1"/>
  <c r="M57" i="16" a="1"/>
  <c r="M43" i="16" a="1"/>
  <c r="N53" i="16" a="1"/>
  <c r="N17" i="16" a="1"/>
  <c r="L66" i="16"/>
  <c r="L34" i="16"/>
  <c r="L18" i="16"/>
  <c r="N51" i="16" a="1"/>
  <c r="M69" i="16" a="1"/>
  <c r="M26" i="16" a="1"/>
  <c r="N50" i="16" a="1"/>
  <c r="N2" i="16" a="1"/>
  <c r="D13" i="1"/>
  <c r="J50" i="16"/>
  <c r="J18" i="16"/>
  <c r="M12" i="16" a="1"/>
  <c r="N63" i="16" a="1"/>
  <c r="N26" i="16" a="1"/>
  <c r="D9" i="1" a="1"/>
  <c r="J49" i="16"/>
  <c r="J33" i="16"/>
  <c r="J17" i="16"/>
  <c r="K43" i="16"/>
  <c r="K27" i="16"/>
  <c r="K11" i="16"/>
  <c r="L63" i="16"/>
  <c r="L31" i="16"/>
  <c r="M52" i="16" a="1"/>
  <c r="N36" i="16" a="1"/>
  <c r="M51" i="16" a="1"/>
  <c r="M38" i="16" a="1"/>
  <c r="M10" i="16" a="1"/>
  <c r="I57" i="16"/>
  <c r="I41" i="16"/>
  <c r="I25" i="16"/>
  <c r="I9" i="16"/>
  <c r="J61" i="16"/>
  <c r="J45" i="16"/>
  <c r="J29" i="16"/>
  <c r="K55" i="16"/>
  <c r="K39" i="16"/>
  <c r="K23" i="16"/>
  <c r="K7" i="16"/>
  <c r="L59" i="16"/>
  <c r="L43" i="16"/>
  <c r="L27" i="16"/>
  <c r="M49" i="16" a="1"/>
  <c r="M35" i="16" a="1"/>
  <c r="M21" i="16" a="1"/>
  <c r="N58" i="16" a="1"/>
  <c r="N46" i="16" a="1"/>
  <c r="N33" i="16" a="1"/>
  <c r="N22" i="16" a="1"/>
  <c r="K18" i="16"/>
  <c r="N18" i="16" a="1"/>
  <c r="N30" i="16" a="1"/>
  <c r="M16" i="16" a="1"/>
  <c r="M55" i="16" a="1"/>
  <c r="M41" i="16" a="1"/>
  <c r="N3" i="16" a="1"/>
  <c r="L33" i="16"/>
  <c r="N38" i="16" a="1"/>
  <c r="M40" i="16" a="1"/>
  <c r="M25" i="16" a="1"/>
  <c r="I56" i="16"/>
  <c r="I24" i="16"/>
  <c r="I8" i="16"/>
  <c r="L42" i="16"/>
  <c r="M48" i="16" a="1"/>
  <c r="M61" i="16" a="1"/>
  <c r="M47" i="16" a="1"/>
  <c r="N32" i="16" a="1"/>
  <c r="M45" i="16" a="1"/>
  <c r="M17" i="16" a="1"/>
  <c r="I51" i="16"/>
  <c r="N6" i="16" a="1"/>
  <c r="D10" i="1"/>
  <c r="M13" i="16" a="1"/>
  <c r="N27" i="16" a="1"/>
  <c r="I40" i="16"/>
  <c r="M62" i="16" a="1"/>
  <c r="M7" i="16" a="1"/>
  <c r="L57" i="16"/>
  <c r="M19" i="16" a="1"/>
  <c r="N70" i="16" a="1"/>
  <c r="D14" i="1" s="1"/>
  <c r="N45" i="16" a="1"/>
  <c r="I6" i="16"/>
  <c r="J58" i="16"/>
  <c r="J26" i="16"/>
  <c r="L56" i="16"/>
  <c r="M36" i="14" a="1"/>
  <c r="N38" i="14" a="1"/>
  <c r="N64" i="14" a="1"/>
  <c r="I64" i="14"/>
  <c r="L68" i="14"/>
  <c r="I56" i="14"/>
  <c r="M56" i="14" a="1"/>
  <c r="N56" i="14" a="1"/>
  <c r="J68" i="14"/>
  <c r="L20" i="14"/>
  <c r="I8" i="14"/>
  <c r="M8" i="14" a="1"/>
  <c r="J20" i="14"/>
  <c r="J22" i="14"/>
  <c r="N6" i="14" a="1"/>
  <c r="N63" i="14" a="1"/>
  <c r="M55" i="14" a="1"/>
  <c r="M47" i="14" a="1"/>
  <c r="N31" i="14" a="1"/>
  <c r="N23" i="14" a="1"/>
  <c r="E7" i="1"/>
  <c r="J65" i="14"/>
  <c r="J41" i="14"/>
  <c r="J18" i="14"/>
  <c r="L50" i="14"/>
  <c r="L29" i="14"/>
  <c r="M50" i="14" a="1"/>
  <c r="M27" i="14" a="1"/>
  <c r="N30" i="14" a="1"/>
  <c r="N5" i="14" a="1"/>
  <c r="J64" i="14"/>
  <c r="J40" i="14"/>
  <c r="L49" i="14"/>
  <c r="L26" i="14"/>
  <c r="M49" i="14" a="1"/>
  <c r="M4" i="14" a="1"/>
  <c r="N50" i="14" a="1"/>
  <c r="N29" i="14" a="1"/>
  <c r="J46" i="14"/>
  <c r="N34" i="14" a="1"/>
  <c r="M34" i="14" a="1"/>
  <c r="K35" i="14"/>
  <c r="L34" i="14"/>
  <c r="M52" i="14" a="1"/>
  <c r="N28" i="14" a="1"/>
  <c r="N14" i="14" a="1"/>
  <c r="M37" i="14" a="1"/>
  <c r="J29" i="14"/>
  <c r="M17" i="14" a="1"/>
  <c r="L52" i="14"/>
  <c r="I40" i="14"/>
  <c r="J52" i="14"/>
  <c r="M21" i="14" a="1"/>
  <c r="M5" i="14" a="1"/>
  <c r="L38" i="14"/>
  <c r="I26" i="14"/>
  <c r="I27" i="14"/>
  <c r="J26" i="14"/>
  <c r="K50" i="14"/>
  <c r="K10" i="14"/>
  <c r="L58" i="14"/>
  <c r="E4" i="1"/>
  <c r="M58" i="14" a="1"/>
  <c r="J45" i="14"/>
  <c r="M33" i="14" a="1"/>
  <c r="K27" i="14"/>
  <c r="M11" i="14" a="1"/>
  <c r="L36" i="14"/>
  <c r="I24" i="14"/>
  <c r="N24" i="14" a="1"/>
  <c r="J36" i="14"/>
  <c r="J69" i="14"/>
  <c r="E6" i="1" s="1"/>
  <c r="K25" i="14"/>
  <c r="M3" i="14" a="1"/>
  <c r="I66" i="14"/>
  <c r="I18" i="14"/>
  <c r="J38" i="14"/>
  <c r="L24" i="14"/>
  <c r="K58" i="14"/>
  <c r="M25" i="14" a="1"/>
  <c r="I65" i="14"/>
  <c r="I17" i="14"/>
  <c r="J58" i="14"/>
  <c r="L46" i="14"/>
  <c r="K57" i="14"/>
  <c r="K18" i="14"/>
  <c r="M64" i="14" a="1"/>
  <c r="M46" i="14" a="1"/>
  <c r="M24" i="14" a="1"/>
  <c r="N27" i="14" a="1"/>
  <c r="N53" i="14" a="1"/>
  <c r="N13" i="14" a="1"/>
  <c r="E5" i="1"/>
  <c r="N60" i="14" a="1"/>
  <c r="I51" i="14"/>
  <c r="J44" i="14"/>
  <c r="N32" i="14" a="1"/>
  <c r="L44" i="14"/>
  <c r="I32" i="14"/>
  <c r="K64" i="14"/>
  <c r="N58" i="14" a="1"/>
  <c r="I19" i="14"/>
  <c r="N45" i="14" a="1"/>
  <c r="N68" i="14" a="1"/>
  <c r="N52" i="14" a="1"/>
  <c r="N36" i="14" a="1"/>
  <c r="N20" i="14" a="1"/>
  <c r="L22" i="14"/>
  <c r="I10" i="14"/>
  <c r="N10" i="14" a="1"/>
  <c r="I11" i="14"/>
  <c r="J50" i="14"/>
  <c r="M12" i="14" a="1"/>
  <c r="L37" i="14"/>
  <c r="I25" i="14"/>
  <c r="N25" i="14" a="1"/>
  <c r="N7" i="14" a="1"/>
  <c r="M16" i="14" a="1"/>
  <c r="J28" i="14"/>
  <c r="L28" i="14"/>
  <c r="I16" i="14"/>
  <c r="M28" i="14" a="1"/>
  <c r="M2" i="14" a="1"/>
  <c r="M44" i="14" a="1"/>
  <c r="J33" i="14"/>
  <c r="N47" i="14" a="1"/>
  <c r="M6" i="14" a="1"/>
  <c r="N8" i="14" a="1"/>
  <c r="J60" i="14"/>
  <c r="L60" i="14"/>
  <c r="I48" i="14"/>
  <c r="E3" i="1" a="1"/>
  <c r="K65" i="14"/>
  <c r="M51" i="14" a="1"/>
  <c r="L48" i="14"/>
  <c r="M68" i="14" a="1"/>
  <c r="M48" i="14" a="1"/>
  <c r="N49" i="14" a="1"/>
  <c r="M63" i="14" a="1"/>
  <c r="M66" i="14" a="1"/>
  <c r="N66" i="14" a="1"/>
  <c r="K67" i="14"/>
  <c r="J62" i="14"/>
  <c r="K51" i="14"/>
  <c r="M42" i="14" a="1"/>
  <c r="N42" i="14" a="1"/>
  <c r="L54" i="14"/>
  <c r="I42" i="14"/>
  <c r="J30" i="14"/>
  <c r="M18" i="14" a="1"/>
  <c r="K19" i="14"/>
  <c r="M65" i="14" a="1"/>
  <c r="N65" i="14" a="1"/>
  <c r="L69" i="14"/>
  <c r="I57" i="14"/>
  <c r="M57" i="14" a="1"/>
  <c r="N57" i="14" a="1"/>
  <c r="N41" i="14" a="1"/>
  <c r="L53" i="14"/>
  <c r="I41" i="14"/>
  <c r="N9" i="14" a="1"/>
  <c r="L21" i="14"/>
  <c r="I9" i="14"/>
  <c r="M9" i="14" a="1"/>
  <c r="L33" i="14"/>
  <c r="M53" i="14" a="1"/>
  <c r="N54" i="14" a="1"/>
  <c r="M31" i="14" a="1"/>
  <c r="M7" i="14" a="1"/>
  <c r="M43" i="14" a="1"/>
  <c r="N43" i="14" a="1"/>
  <c r="M67" i="14" a="1"/>
  <c r="N11" i="14" a="1"/>
  <c r="N22" i="14" a="1"/>
  <c r="M69" i="14" a="1"/>
  <c r="N67" i="14" a="1"/>
  <c r="N4" i="14" a="1"/>
  <c r="N15" i="14" a="1"/>
  <c r="N37" i="14" a="1"/>
  <c r="I49" i="14"/>
  <c r="J66" i="14"/>
  <c r="J42" i="14"/>
  <c r="L30" i="14"/>
  <c r="K43" i="14"/>
  <c r="K24" i="14"/>
  <c r="N33" i="14" a="1"/>
  <c r="I67" i="14"/>
  <c r="L25" i="14"/>
  <c r="K59" i="14"/>
  <c r="K40" i="14"/>
  <c r="M29" i="14" a="1"/>
  <c r="J37" i="14"/>
  <c r="J57" i="14"/>
  <c r="J34" i="14"/>
  <c r="L45" i="14"/>
  <c r="K56" i="14"/>
  <c r="K17" i="14"/>
  <c r="M23" i="14" a="1"/>
  <c r="N26" i="14" a="1"/>
  <c r="J56" i="14"/>
  <c r="L65" i="14"/>
  <c r="L42" i="14"/>
  <c r="K16" i="14"/>
  <c r="M62" i="14" a="1"/>
  <c r="M41" i="14" a="1"/>
  <c r="N19" i="14" a="1"/>
  <c r="J32" i="14"/>
  <c r="L64" i="14"/>
  <c r="L41" i="14"/>
  <c r="L17" i="14"/>
  <c r="K34" i="14"/>
  <c r="M40" i="14" a="1"/>
  <c r="N69" i="14" a="1"/>
  <c r="E8" i="1" s="1"/>
  <c r="N18" i="14" a="1"/>
  <c r="N51" i="14" a="1"/>
  <c r="I59" i="14"/>
  <c r="I35" i="14"/>
  <c r="J54" i="14"/>
  <c r="L40" i="14"/>
  <c r="L16" i="14"/>
  <c r="K33" i="14"/>
  <c r="M61" i="14" a="1"/>
  <c r="M39" i="14" a="1"/>
  <c r="M15" i="14" a="1"/>
  <c r="N17" i="14" a="1"/>
  <c r="M59" i="14" a="1"/>
  <c r="M35" i="14" a="1"/>
  <c r="M22" i="14" a="1"/>
  <c r="N46" i="14" a="1"/>
  <c r="N3" i="14" a="1"/>
  <c r="I63" i="14"/>
  <c r="I47" i="14"/>
  <c r="I31" i="14"/>
  <c r="I15" i="14"/>
  <c r="J67" i="14"/>
  <c r="J35" i="14"/>
  <c r="L59" i="14"/>
  <c r="L43" i="14"/>
  <c r="L27" i="14"/>
  <c r="N2" i="14" a="1"/>
  <c r="N35" i="14" a="1"/>
  <c r="M45" i="14" a="1"/>
  <c r="M19" i="14" a="1"/>
  <c r="N55" i="14" a="1"/>
  <c r="N44" i="14" a="1"/>
  <c r="N12" i="14" a="1"/>
  <c r="N21" i="14" a="1"/>
  <c r="M54" i="14" a="1"/>
  <c r="M30" i="14" a="1"/>
  <c r="N53" i="13" a="1"/>
  <c r="M68" i="13" a="1"/>
  <c r="N39" i="13" a="1"/>
  <c r="N37" i="13" a="1"/>
  <c r="M13" i="13" a="1"/>
  <c r="N60" i="13" a="1"/>
  <c r="N48" i="13" a="1"/>
  <c r="N36" i="13" a="1"/>
  <c r="N23" i="13" a="1"/>
  <c r="N11" i="13" a="1"/>
  <c r="I55" i="13"/>
  <c r="I39" i="13"/>
  <c r="I23" i="13"/>
  <c r="I7" i="13"/>
  <c r="J59" i="13"/>
  <c r="J43" i="13"/>
  <c r="J27" i="13"/>
  <c r="L56" i="13"/>
  <c r="L40" i="13"/>
  <c r="L24" i="13"/>
  <c r="M64" i="13" a="1"/>
  <c r="M50" i="13" a="1"/>
  <c r="M38" i="13" a="1"/>
  <c r="M24" i="13" a="1"/>
  <c r="M12" i="13" a="1"/>
  <c r="N59" i="13" a="1"/>
  <c r="N47" i="13" a="1"/>
  <c r="N35" i="13" a="1"/>
  <c r="N10" i="13" a="1"/>
  <c r="J58" i="13"/>
  <c r="J42" i="13"/>
  <c r="J26" i="13"/>
  <c r="K67" i="13"/>
  <c r="K51" i="13"/>
  <c r="K35" i="13"/>
  <c r="K19" i="13"/>
  <c r="L15" i="13"/>
  <c r="L55" i="13"/>
  <c r="L39" i="13"/>
  <c r="L23" i="13"/>
  <c r="M63" i="13" a="1"/>
  <c r="M49" i="13" a="1"/>
  <c r="N58" i="13" a="1"/>
  <c r="N34" i="13" a="1"/>
  <c r="N27" i="13" a="1"/>
  <c r="K42" i="13"/>
  <c r="K26" i="13"/>
  <c r="K10" i="13"/>
  <c r="L62" i="13"/>
  <c r="L46" i="13"/>
  <c r="L30" i="13"/>
  <c r="N51" i="13" a="1"/>
  <c r="M14" i="13" a="1"/>
  <c r="N49" i="13" a="1"/>
  <c r="I57" i="13"/>
  <c r="I25" i="13"/>
  <c r="I9" i="13"/>
  <c r="J45" i="13"/>
  <c r="J29" i="13"/>
  <c r="M36" i="13" a="1"/>
  <c r="M35" i="13" a="1"/>
  <c r="N69" i="13" a="1"/>
  <c r="N56" i="13" a="1"/>
  <c r="N45" i="13" a="1"/>
  <c r="N32" i="13" a="1"/>
  <c r="N4" i="13" a="1"/>
  <c r="M28" i="13" a="1"/>
  <c r="N50" i="13" a="1"/>
  <c r="M3" i="13" a="1"/>
  <c r="N46" i="13" a="1"/>
  <c r="M21" i="13" a="1"/>
  <c r="N68" i="13" a="1"/>
  <c r="N44" i="13" a="1"/>
  <c r="N31" i="13" a="1"/>
  <c r="N18" i="13" a="1"/>
  <c r="N8" i="13" a="1"/>
  <c r="M69" i="13" a="1"/>
  <c r="M6" i="13" a="1"/>
  <c r="M56" i="13" a="1"/>
  <c r="N64" i="13" a="1"/>
  <c r="M67" i="13" a="1"/>
  <c r="M15" i="13" a="1"/>
  <c r="N62" i="13" a="1"/>
  <c r="M53" i="13" a="1"/>
  <c r="N61" i="13" a="1"/>
  <c r="M39" i="13" a="1"/>
  <c r="J41" i="13"/>
  <c r="M11" i="13" a="1"/>
  <c r="M61" i="13" a="1"/>
  <c r="M48" i="13" a="1"/>
  <c r="I67" i="13"/>
  <c r="I51" i="13"/>
  <c r="I35" i="13"/>
  <c r="I19" i="13"/>
  <c r="J15" i="13"/>
  <c r="J55" i="13"/>
  <c r="J39" i="13"/>
  <c r="J23" i="13"/>
  <c r="K64" i="13"/>
  <c r="K32" i="13"/>
  <c r="K16" i="13"/>
  <c r="L68" i="13"/>
  <c r="L52" i="13"/>
  <c r="L20" i="13"/>
  <c r="M60" i="13" a="1"/>
  <c r="M34" i="13" a="1"/>
  <c r="M9" i="13" a="1"/>
  <c r="I66" i="13"/>
  <c r="I50" i="13"/>
  <c r="I34" i="13"/>
  <c r="I18" i="13"/>
  <c r="J70" i="13"/>
  <c r="D6" i="1" s="1"/>
  <c r="J54" i="13"/>
  <c r="J38" i="13"/>
  <c r="J22" i="13"/>
  <c r="K47" i="13"/>
  <c r="K31" i="13"/>
  <c r="L67" i="13"/>
  <c r="L51" i="13"/>
  <c r="L35" i="13"/>
  <c r="L19" i="13"/>
  <c r="M59" i="13" a="1"/>
  <c r="M47" i="13" a="1"/>
  <c r="M33" i="13" a="1"/>
  <c r="M20" i="13" a="1"/>
  <c r="M8" i="13" a="1"/>
  <c r="N55" i="13" a="1"/>
  <c r="N7" i="13" a="1"/>
  <c r="M16" i="13" a="1"/>
  <c r="N5" i="13" a="1"/>
  <c r="K58" i="13"/>
  <c r="M5" i="13" a="1"/>
  <c r="M29" i="13" a="1"/>
  <c r="N14" i="13" a="1"/>
  <c r="M4" i="13" a="1"/>
  <c r="M27" i="13" a="1"/>
  <c r="N12" i="13" a="1"/>
  <c r="I56" i="13"/>
  <c r="I40" i="13"/>
  <c r="I8" i="13"/>
  <c r="J60" i="13"/>
  <c r="J44" i="13"/>
  <c r="J28" i="13"/>
  <c r="L57" i="13"/>
  <c r="L41" i="13"/>
  <c r="L25" i="13"/>
  <c r="M65" i="13" a="1"/>
  <c r="M62" i="13" a="1"/>
  <c r="N70" i="13" a="1"/>
  <c r="D8" i="1" s="1"/>
  <c r="N57" i="13" a="1"/>
  <c r="N33" i="13" a="1"/>
  <c r="N9" i="13" a="1"/>
  <c r="J56" i="13"/>
  <c r="J40" i="13"/>
  <c r="J24" i="13"/>
  <c r="K65" i="13"/>
  <c r="K49" i="13"/>
  <c r="K33" i="13"/>
  <c r="K17" i="13"/>
  <c r="L69" i="13"/>
  <c r="L53" i="13"/>
  <c r="L37" i="13"/>
  <c r="L21" i="13"/>
  <c r="M10" i="13" a="1"/>
  <c r="I65" i="13"/>
  <c r="I33" i="13"/>
  <c r="J69" i="13"/>
  <c r="J53" i="13"/>
  <c r="L66" i="13"/>
  <c r="L34" i="13"/>
  <c r="L18" i="13"/>
  <c r="M46" i="13" a="1"/>
  <c r="M32" i="13" a="1"/>
  <c r="M19" i="13" a="1"/>
  <c r="N66" i="13" a="1"/>
  <c r="N42" i="13" a="1"/>
  <c r="N17" i="13" a="1"/>
  <c r="N63" i="13" a="1"/>
  <c r="M54" i="13" a="1"/>
  <c r="N2" i="13" a="1"/>
  <c r="I58" i="13"/>
  <c r="I42" i="13"/>
  <c r="I26" i="13"/>
  <c r="I10" i="13"/>
  <c r="J62" i="13"/>
  <c r="J30" i="13"/>
  <c r="M41" i="13" a="1"/>
  <c r="M52" i="13" a="1"/>
  <c r="M26" i="13" a="1"/>
  <c r="M51" i="13" a="1"/>
  <c r="M25" i="13" a="1"/>
  <c r="M23" i="13" a="1"/>
  <c r="D7" i="1"/>
  <c r="M22" i="13" a="1"/>
  <c r="L36" i="13"/>
  <c r="I49" i="13"/>
  <c r="I17" i="13"/>
  <c r="J37" i="13"/>
  <c r="M58" i="13" a="1"/>
  <c r="D3" i="1" a="1"/>
  <c r="I64" i="13"/>
  <c r="I48" i="13"/>
  <c r="I32" i="13"/>
  <c r="I16" i="13"/>
  <c r="J52" i="13"/>
  <c r="J36" i="13"/>
  <c r="L65" i="13"/>
  <c r="L49" i="13"/>
  <c r="L33" i="13"/>
  <c r="L17" i="13"/>
  <c r="M45" i="13" a="1"/>
  <c r="M7" i="13" a="1"/>
  <c r="N41" i="13" a="1"/>
  <c r="N6" i="13" a="1"/>
  <c r="M43" i="13" a="1"/>
  <c r="N15" i="13" a="1"/>
  <c r="M30" i="13" a="1"/>
  <c r="N26" i="13" a="1"/>
  <c r="M55" i="13" a="1"/>
  <c r="M42" i="13" a="1"/>
  <c r="N3" i="13" a="1"/>
  <c r="I59" i="13"/>
  <c r="I43" i="13"/>
  <c r="I27" i="13"/>
  <c r="I11" i="13"/>
  <c r="K40" i="13"/>
  <c r="N25" i="13" a="1"/>
  <c r="J61" i="13"/>
  <c r="D4" i="1"/>
  <c r="L58" i="13"/>
  <c r="L42" i="13"/>
  <c r="L26" i="13"/>
  <c r="M40" i="13" a="1"/>
  <c r="N24" i="13" a="1"/>
  <c r="M2" i="13" a="1"/>
  <c r="J57" i="13"/>
  <c r="K66" i="13"/>
  <c r="K18" i="13"/>
  <c r="L16" i="13"/>
  <c r="M70" i="13" a="1"/>
  <c r="M44" i="13" a="1"/>
  <c r="M46" i="12" a="1"/>
  <c r="I26" i="12"/>
  <c r="K59" i="12"/>
  <c r="L54" i="12"/>
  <c r="N4" i="12" a="1"/>
  <c r="M48" i="12" a="1"/>
  <c r="N5" i="12" a="1"/>
  <c r="K66" i="12"/>
  <c r="N48" i="12" a="1"/>
  <c r="L58" i="12"/>
  <c r="M16" i="12" a="1"/>
  <c r="N29" i="12" a="1"/>
  <c r="M2" i="12" a="1"/>
  <c r="M18" i="12" a="1"/>
  <c r="J30" i="12"/>
  <c r="K19" i="12"/>
  <c r="I18" i="12"/>
  <c r="L30" i="12"/>
  <c r="I19" i="12"/>
  <c r="N18" i="12" a="1"/>
  <c r="I27" i="12"/>
  <c r="M45" i="12" a="1"/>
  <c r="K50" i="12"/>
  <c r="M43" i="12" a="1"/>
  <c r="J22" i="12"/>
  <c r="M42" i="12" a="1"/>
  <c r="M32" i="12" a="1"/>
  <c r="N24" i="12" a="1"/>
  <c r="M31" i="12" a="1"/>
  <c r="J18" i="12"/>
  <c r="N49" i="12" a="1"/>
  <c r="M22" i="12" a="1"/>
  <c r="I11" i="12"/>
  <c r="I10" i="12"/>
  <c r="L38" i="12"/>
  <c r="C6" i="1"/>
  <c r="N28" i="12" a="1"/>
  <c r="M20" i="12" a="1"/>
  <c r="M4" i="12" a="1"/>
  <c r="N61" i="12" a="1"/>
  <c r="N56" i="12" a="1"/>
  <c r="N21" i="12" a="1"/>
  <c r="N35" i="12" a="1"/>
  <c r="M25" i="12" a="1"/>
  <c r="N11" i="12" a="1"/>
  <c r="M56" i="12" a="1"/>
  <c r="M41" i="12" a="1"/>
  <c r="N8" i="12" a="1"/>
  <c r="N22" i="12" a="1"/>
  <c r="N68" i="12" a="1"/>
  <c r="N59" i="12" a="1"/>
  <c r="M40" i="12" a="1"/>
  <c r="M11" i="12" a="1"/>
  <c r="M72" i="12" a="1"/>
  <c r="N70" i="12" a="1"/>
  <c r="M13" i="12" a="1"/>
  <c r="N14" i="12" a="1"/>
  <c r="N39" i="12" a="1"/>
  <c r="N51" i="12" a="1"/>
  <c r="J54" i="12"/>
  <c r="L50" i="12"/>
  <c r="M30" i="12" a="1"/>
  <c r="L70" i="12"/>
  <c r="N30" i="12" a="1"/>
  <c r="L18" i="12"/>
  <c r="N53" i="12" a="1"/>
  <c r="M15" i="12" a="1"/>
  <c r="M12" i="12" a="1"/>
  <c r="N27" i="12" a="1"/>
  <c r="K67" i="12"/>
  <c r="I66" i="12"/>
  <c r="I67" i="12"/>
  <c r="M66" i="12" a="1"/>
  <c r="N66" i="12" a="1"/>
  <c r="K58" i="12"/>
  <c r="N58" i="12" a="1"/>
  <c r="K51" i="12"/>
  <c r="I50" i="12"/>
  <c r="L62" i="12"/>
  <c r="M50" i="12" a="1"/>
  <c r="I51" i="12"/>
  <c r="J62" i="12"/>
  <c r="N50" i="12" a="1"/>
  <c r="N42" i="12" a="1"/>
  <c r="K42" i="12"/>
  <c r="K43" i="12"/>
  <c r="J46" i="12"/>
  <c r="K35" i="12"/>
  <c r="I34" i="12"/>
  <c r="N34" i="12" a="1"/>
  <c r="M34" i="12" a="1"/>
  <c r="I35" i="12"/>
  <c r="L46" i="12"/>
  <c r="K26" i="12"/>
  <c r="M26" i="12" a="1"/>
  <c r="K27" i="12"/>
  <c r="N26" i="12" a="1"/>
  <c r="N10" i="12" a="1"/>
  <c r="K10" i="12"/>
  <c r="K11" i="12"/>
  <c r="M10" i="12" a="1"/>
  <c r="J66" i="12"/>
  <c r="N63" i="12" a="1"/>
  <c r="I43" i="12"/>
  <c r="M28" i="12" a="1"/>
  <c r="N6" i="12" a="1"/>
  <c r="M17" i="12" a="1"/>
  <c r="M60" i="12" a="1"/>
  <c r="I58" i="12"/>
  <c r="M58" i="12" a="1"/>
  <c r="N23" i="12" a="1"/>
  <c r="N41" i="12" a="1"/>
  <c r="K34" i="12"/>
  <c r="K18" i="12"/>
  <c r="M64" i="12" a="1"/>
  <c r="N32" i="12" a="1"/>
  <c r="N52" i="12" a="1"/>
  <c r="N54" i="12" a="1"/>
  <c r="M27" i="12" a="1"/>
  <c r="M62" i="12" a="1"/>
  <c r="N45" i="12" a="1"/>
  <c r="M61" i="12" a="1"/>
  <c r="J70" i="12"/>
  <c r="M57" i="12" a="1"/>
  <c r="M3" i="12" a="1"/>
  <c r="N3" i="12" a="1"/>
  <c r="C3" i="1" a="1"/>
  <c r="J67" i="12"/>
  <c r="J51" i="12"/>
  <c r="J35" i="12"/>
  <c r="J19" i="12"/>
  <c r="K46" i="12"/>
  <c r="K30" i="12"/>
  <c r="K14" i="12"/>
  <c r="M59" i="12" a="1"/>
  <c r="M44" i="12" a="1"/>
  <c r="M29" i="12" a="1"/>
  <c r="M14" i="12" a="1"/>
  <c r="N71" i="12" a="1"/>
  <c r="N38" i="12" a="1"/>
  <c r="N25" i="12" a="1"/>
  <c r="N13" i="12" a="1"/>
  <c r="N2" i="12" a="1"/>
  <c r="N60" i="12" a="1"/>
  <c r="N37" i="12" a="1"/>
  <c r="N12" i="12" a="1"/>
  <c r="M8" i="12" a="1"/>
  <c r="N67" i="12" a="1"/>
  <c r="N57" i="12" a="1"/>
  <c r="N46" i="12" a="1"/>
  <c r="N20" i="12" a="1"/>
  <c r="N9" i="12" a="1"/>
  <c r="M70" i="12" a="1"/>
  <c r="N47" i="12" a="1"/>
  <c r="I71" i="12"/>
  <c r="K24" i="12"/>
  <c r="I70" i="12"/>
  <c r="K39" i="12"/>
  <c r="M68" i="12" a="1"/>
  <c r="M53" i="12" a="1"/>
  <c r="M37" i="12" a="1"/>
  <c r="M23" i="12" a="1"/>
  <c r="M7" i="12" a="1"/>
  <c r="N31" i="12" a="1"/>
  <c r="J63" i="12"/>
  <c r="M69" i="12" a="1"/>
  <c r="N19" i="12" a="1"/>
  <c r="L47" i="12"/>
  <c r="M24" i="12" a="1"/>
  <c r="N33" i="12" a="1"/>
  <c r="I55" i="12"/>
  <c r="I23" i="12"/>
  <c r="J61" i="12"/>
  <c r="J29" i="12"/>
  <c r="K56" i="12"/>
  <c r="K8" i="12"/>
  <c r="M38" i="12" a="1"/>
  <c r="I22" i="12"/>
  <c r="L45" i="12"/>
  <c r="J59" i="12"/>
  <c r="M52" i="12" a="1"/>
  <c r="J14" i="12"/>
  <c r="J58" i="12"/>
  <c r="J42" i="12"/>
  <c r="J26" i="12"/>
  <c r="L59" i="12"/>
  <c r="L43" i="12"/>
  <c r="L27" i="12"/>
  <c r="M35" i="12" a="1"/>
  <c r="N44" i="12" a="1"/>
  <c r="J15" i="12"/>
  <c r="J41" i="12"/>
  <c r="J25" i="12"/>
  <c r="K20" i="12"/>
  <c r="L42" i="12"/>
  <c r="L26" i="12"/>
  <c r="M65" i="12" a="1"/>
  <c r="N64" i="12" a="1"/>
  <c r="N55" i="12" a="1"/>
  <c r="N7" i="12" a="1"/>
  <c r="M71" i="12" a="1"/>
  <c r="I40" i="12"/>
  <c r="K9" i="12"/>
  <c r="M54" i="12" a="1"/>
  <c r="M39" i="12" a="1"/>
  <c r="I39" i="12"/>
  <c r="I7" i="12"/>
  <c r="J45" i="12"/>
  <c r="K72" i="12"/>
  <c r="C4" i="1" s="1"/>
  <c r="K40" i="12"/>
  <c r="I54" i="12"/>
  <c r="I38" i="12"/>
  <c r="I6" i="12"/>
  <c r="K71" i="12"/>
  <c r="K55" i="12"/>
  <c r="K23" i="12"/>
  <c r="K7" i="12"/>
  <c r="L61" i="12"/>
  <c r="L29" i="12"/>
  <c r="J43" i="12"/>
  <c r="J27" i="12"/>
  <c r="K54" i="12"/>
  <c r="K22" i="12"/>
  <c r="K6" i="12"/>
  <c r="M36" i="12" a="1"/>
  <c r="M6" i="12" a="1"/>
  <c r="M51" i="12" a="1"/>
  <c r="M21" i="12" a="1"/>
  <c r="M5" i="12" a="1"/>
  <c r="N65" i="12" a="1"/>
  <c r="J57" i="12"/>
  <c r="N43" i="12" a="1"/>
  <c r="J40" i="12"/>
  <c r="M49" i="12" a="1"/>
  <c r="M33" i="12" a="1"/>
  <c r="M19" i="12" a="1"/>
  <c r="N17" i="12" a="1"/>
  <c r="J31" i="12"/>
  <c r="M55" i="12" a="1"/>
  <c r="I72" i="12"/>
  <c r="C7" i="1" s="1"/>
  <c r="I56" i="12"/>
  <c r="I24" i="12"/>
  <c r="K41" i="12"/>
  <c r="L63" i="12"/>
  <c r="M67" i="12" a="1"/>
  <c r="I65" i="12"/>
  <c r="I49" i="12"/>
  <c r="I33" i="12"/>
  <c r="I17" i="12"/>
  <c r="C5" i="1"/>
  <c r="M63" i="12" a="1"/>
  <c r="G7" i="18"/>
  <c r="C17" i="1" s="1"/>
  <c r="M20" i="15" a="1"/>
  <c r="K30" i="15"/>
  <c r="K26" i="15"/>
  <c r="K41" i="15"/>
  <c r="I42" i="15"/>
  <c r="J37" i="15"/>
  <c r="I65" i="15"/>
  <c r="M32" i="15" a="1"/>
  <c r="M31" i="15" a="1"/>
  <c r="M18" i="15" a="1"/>
  <c r="K31" i="15"/>
  <c r="I18" i="15"/>
  <c r="M40" i="15" a="1"/>
  <c r="L60" i="15"/>
  <c r="I11" i="15"/>
  <c r="J40" i="15"/>
  <c r="M4" i="15" a="1"/>
  <c r="K58" i="15"/>
  <c r="I43" i="15"/>
  <c r="M26" i="15" a="1"/>
  <c r="K9" i="15"/>
  <c r="J67" i="15"/>
  <c r="J51" i="15"/>
  <c r="J35" i="15"/>
  <c r="J19" i="15"/>
  <c r="I7" i="15"/>
  <c r="J29" i="15"/>
  <c r="K17" i="15"/>
  <c r="M59" i="15" a="1"/>
  <c r="M47" i="15" a="1"/>
  <c r="M25" i="15" a="1"/>
  <c r="M13" i="15" a="1"/>
  <c r="M43" i="15" a="1"/>
  <c r="M54" i="15" a="1"/>
  <c r="M7" i="15" a="1"/>
  <c r="M51" i="15" a="1"/>
  <c r="L44" i="15"/>
  <c r="M39" i="15" a="1"/>
  <c r="M15" i="15" a="1"/>
  <c r="I49" i="15"/>
  <c r="K33" i="15"/>
  <c r="M38" i="15" a="1"/>
  <c r="M3" i="15" a="1"/>
  <c r="I70" i="15"/>
  <c r="K55" i="15"/>
  <c r="K39" i="15"/>
  <c r="K23" i="15"/>
  <c r="K7" i="15"/>
  <c r="I40" i="15"/>
  <c r="J14" i="15"/>
  <c r="J28" i="15"/>
  <c r="K8" i="15"/>
  <c r="M58" i="15" a="1"/>
  <c r="M12" i="15" a="1"/>
  <c r="K42" i="15"/>
  <c r="K57" i="15"/>
  <c r="J65" i="15"/>
  <c r="J49" i="15"/>
  <c r="J33" i="15"/>
  <c r="J17" i="15"/>
  <c r="I39" i="15"/>
  <c r="J70" i="15"/>
  <c r="J24" i="15"/>
  <c r="K6" i="15"/>
  <c r="M57" i="15" a="1"/>
  <c r="M46" i="15" a="1"/>
  <c r="M55" i="15" a="1"/>
  <c r="M42" i="15" a="1"/>
  <c r="M41" i="15" a="1"/>
  <c r="K49" i="15"/>
  <c r="M50" i="15" a="1"/>
  <c r="M29" i="15" a="1"/>
  <c r="I50" i="15"/>
  <c r="M62" i="15" a="1"/>
  <c r="M49" i="15" a="1"/>
  <c r="J39" i="15"/>
  <c r="M27" i="15" a="1"/>
  <c r="K10" i="15"/>
  <c r="I9" i="15"/>
  <c r="J38" i="15"/>
  <c r="M14" i="15" a="1"/>
  <c r="K25" i="15"/>
  <c r="I68" i="15"/>
  <c r="L52" i="15"/>
  <c r="J48" i="15"/>
  <c r="I20" i="15"/>
  <c r="J16" i="15"/>
  <c r="I34" i="15"/>
  <c r="J69" i="15"/>
  <c r="J23" i="15"/>
  <c r="L69" i="15"/>
  <c r="M70" i="15" a="1"/>
  <c r="M45" i="15" a="1"/>
  <c r="M23" i="15" a="1"/>
  <c r="M11" i="15" a="1"/>
  <c r="M66" i="15" a="1"/>
  <c r="J45" i="15"/>
  <c r="M56" i="15" a="1"/>
  <c r="M44" i="15" a="1"/>
  <c r="M67" i="15" a="1"/>
  <c r="K65" i="15"/>
  <c r="K64" i="15"/>
  <c r="M65" i="15" a="1"/>
  <c r="M30" i="15" a="1"/>
  <c r="M17" i="15" a="1"/>
  <c r="K62" i="15"/>
  <c r="L26" i="15"/>
  <c r="L28" i="15"/>
  <c r="I17" i="15"/>
  <c r="J44" i="15"/>
  <c r="L25" i="15"/>
  <c r="M5" i="15" a="1"/>
  <c r="J63" i="15"/>
  <c r="J47" i="15"/>
  <c r="I33" i="15"/>
  <c r="J61" i="15"/>
  <c r="J22" i="15"/>
  <c r="L58" i="15"/>
  <c r="M69" i="15" a="1"/>
  <c r="M10" i="15" a="1"/>
  <c r="K67" i="15"/>
  <c r="J62" i="15"/>
  <c r="J46" i="15"/>
  <c r="J30" i="15"/>
  <c r="I66" i="15"/>
  <c r="I27" i="15"/>
  <c r="J60" i="15"/>
  <c r="J21" i="15"/>
  <c r="L57" i="15"/>
  <c r="M68" i="15" a="1"/>
  <c r="M33" i="15" a="1"/>
  <c r="M21" i="15" a="1"/>
  <c r="M9" i="15" a="1"/>
  <c r="K69" i="15"/>
  <c r="K53" i="15"/>
  <c r="K37" i="15"/>
  <c r="K21" i="15"/>
  <c r="K5" i="15"/>
  <c r="I3" i="15"/>
  <c r="J59" i="15"/>
  <c r="J43" i="15"/>
  <c r="J27" i="15"/>
  <c r="K68" i="15"/>
  <c r="K52" i="15"/>
  <c r="K36" i="15"/>
  <c r="K20" i="15"/>
  <c r="K4" i="15"/>
  <c r="L56" i="15"/>
  <c r="L40" i="15"/>
  <c r="L24" i="15"/>
  <c r="I54" i="15"/>
  <c r="I38" i="15"/>
  <c r="I22" i="15"/>
  <c r="I6" i="15"/>
  <c r="J58" i="15"/>
  <c r="J42" i="15"/>
  <c r="J26" i="15"/>
  <c r="K51" i="15"/>
  <c r="K35" i="15"/>
  <c r="K19" i="15"/>
  <c r="L14" i="15"/>
  <c r="L55" i="15"/>
  <c r="L39" i="15"/>
  <c r="L23" i="15"/>
  <c r="I53" i="15"/>
  <c r="I37" i="15"/>
  <c r="I21" i="15"/>
  <c r="I5" i="15"/>
  <c r="J57" i="15"/>
  <c r="J41" i="15"/>
  <c r="J25" i="15"/>
  <c r="K50" i="15"/>
  <c r="K34" i="15"/>
  <c r="K18" i="15"/>
  <c r="K63" i="15"/>
  <c r="L68" i="15"/>
  <c r="L35" i="15"/>
  <c r="I48" i="15"/>
  <c r="I32" i="15"/>
  <c r="J68" i="15"/>
  <c r="J36" i="15"/>
  <c r="J20" i="15"/>
  <c r="K61" i="15"/>
  <c r="K45" i="15"/>
  <c r="K29" i="15"/>
  <c r="K13" i="15"/>
  <c r="L65" i="15"/>
  <c r="L49" i="15"/>
  <c r="L33" i="15"/>
  <c r="L17" i="15"/>
  <c r="I63" i="15"/>
  <c r="I47" i="15"/>
  <c r="I31" i="15"/>
  <c r="I15" i="15"/>
  <c r="K60" i="15"/>
  <c r="K44" i="15"/>
  <c r="K28" i="15"/>
  <c r="K12" i="15"/>
  <c r="L64" i="15"/>
  <c r="L48" i="15"/>
  <c r="L32" i="15"/>
  <c r="L16" i="15"/>
  <c r="I36" i="15"/>
  <c r="I4" i="15"/>
  <c r="I35" i="15"/>
  <c r="K48" i="15"/>
  <c r="L36" i="15"/>
  <c r="K47" i="15"/>
  <c r="K15" i="15"/>
  <c r="L51" i="15"/>
  <c r="K46" i="15"/>
  <c r="K14" i="15"/>
  <c r="L50" i="15"/>
  <c r="L18" i="15"/>
  <c r="I64" i="15"/>
  <c r="I16" i="15"/>
  <c r="I30" i="15"/>
  <c r="J66" i="15"/>
  <c r="J34" i="15"/>
  <c r="L63" i="15"/>
  <c r="L15" i="15"/>
  <c r="I61" i="15"/>
  <c r="I29" i="15"/>
  <c r="L62" i="15"/>
  <c r="L46" i="15"/>
  <c r="L30" i="15"/>
  <c r="I52" i="15"/>
  <c r="I51" i="15"/>
  <c r="K16" i="15"/>
  <c r="L20" i="15"/>
  <c r="L67" i="15"/>
  <c r="L19" i="15"/>
  <c r="L66" i="15"/>
  <c r="L34" i="15"/>
  <c r="J52" i="15"/>
  <c r="J50" i="15"/>
  <c r="J18" i="15"/>
  <c r="L47" i="15"/>
  <c r="L31" i="15"/>
  <c r="I60" i="15"/>
  <c r="I44" i="15"/>
  <c r="I28" i="15"/>
  <c r="J64" i="15"/>
  <c r="J32" i="15"/>
  <c r="J31" i="15"/>
  <c r="K32" i="15"/>
  <c r="J15" i="15"/>
  <c r="E9" i="1" a="1"/>
  <c r="E10" i="1"/>
  <c r="E13" i="1"/>
  <c r="C8" i="1" l="1"/>
  <c r="E11" i="1"/>
  <c r="E14" i="1"/>
  <c r="E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B9BF75-2D4A-954E-B864-DC1BB0098CD8}" keepAlive="1" name="查询 - Processed_CN_HK" description="与工作簿中“Processed_CN_HK”查询的连接。" type="5" refreshedVersion="8" background="1" saveData="1">
    <dbPr connection="Provider=Microsoft.Mashup.OleDb.1;Data Source=$Workbook$;Location=Processed_CN_HK;Extended Properties=&quot;&quot;" command="SELECT * FROM [Processed_CN_HK]"/>
  </connection>
  <connection id="2" xr16:uid="{EFB83BB6-416A-BB4D-A1BC-86E01CFDF7D6}" keepAlive="1" name="查询 - Processed_CN_SZ" description="与工作簿中“Processed_CN_SZ”查询的连接。" type="5" refreshedVersion="8" background="1" saveData="1">
    <dbPr connection="Provider=Microsoft.Mashup.OleDb.1;Data Source=$Workbook$;Location=Processed_CN_SZ;Extended Properties=&quot;&quot;" command="SELECT * FROM [Processed_CN_SZ]"/>
  </connection>
  <connection id="3" xr16:uid="{F01DEFCA-DC6E-0941-8D7F-6169D4B2FAA8}" keepAlive="1" name="查询 - Processed_RentPrice_CN_HK (2)" description="与工作簿中“Processed_RentPrice_CN_HK (2)”查询的连接。" type="5" refreshedVersion="8" background="1" saveData="1">
    <dbPr connection="Provider=Microsoft.Mashup.OleDb.1;Data Source=$Workbook$;Location=&quot;Processed_RentPrice_CN_HK (2)&quot;;Extended Properties=&quot;&quot;" command="SELECT * FROM [Processed_RentPrice_CN_HK (2)]"/>
  </connection>
  <connection id="4" xr16:uid="{EC89461A-60A9-8A4A-8810-8D7318C0D26A}" keepAlive="1" name="查询 - Processed_RentPrice_US_CA (2)" description="与工作簿中“Processed_RentPrice_US_CA (2)”查询的连接。" type="5" refreshedVersion="8" background="1" saveData="1">
    <dbPr connection="Provider=Microsoft.Mashup.OleDb.1;Data Source=$Workbook$;Location=&quot;Processed_RentPrice_US_CA (2)&quot;;Extended Properties=&quot;&quot;" command="SELECT * FROM [Processed_RentPrice_US_CA (2)]"/>
  </connection>
  <connection id="5" xr16:uid="{9B125A57-8863-EA40-92FA-C207E73E2526}" keepAlive="1" name="查询 - Processed_US_CA" description="与工作簿中“Processed_US_CA”查询的连接。" type="5" refreshedVersion="8" background="1" saveData="1">
    <dbPr connection="Provider=Microsoft.Mashup.OleDb.1;Data Source=$Workbook$;Location=Processed_US_CA;Extended Properties=&quot;&quot;" command="SELECT * FROM [Processed_US_CA]"/>
  </connection>
  <connection id="6" xr16:uid="{F63F2F6A-C78E-3045-AFE2-B35FBFCCE61D}" keepAlive="1" name="查询 - rawData_HousePriceIndex_SZ(1)" description="与工作簿中“rawData_HousePriceIndex_SZ”查询的连接。" type="5" refreshedVersion="0" background="1">
    <dbPr connection="Provider=Microsoft.Mashup.OleDb.1;Data Source=$Workbook$;Location=rawData_HousePriceIndex_SZ;Extended Properties=&quot;&quot;" command="SELECT * FROM [rawData_HousePriceIndex_SZ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<sst xmlns="http://schemas.openxmlformats.org/spreadsheetml/2006/main" count="1543" uniqueCount="65">
  <si>
    <t>上月=100</t>
  </si>
  <si>
    <t>上年同月=100</t>
  </si>
  <si>
    <t>YoY (%)</t>
  </si>
  <si>
    <t>MoM (%)</t>
  </si>
  <si>
    <t>YTD (%)</t>
  </si>
  <si>
    <r>
      <rPr>
        <b/>
        <sz val="10"/>
        <color theme="1"/>
        <rFont val="等线"/>
        <family val="4"/>
        <charset val="134"/>
      </rPr>
      <t>指标</t>
    </r>
    <r>
      <rPr>
        <b/>
        <sz val="10"/>
        <color theme="1"/>
        <rFont val="Times New Roman"/>
        <family val="1"/>
      </rPr>
      <t xml:space="preserve"> (Metric)</t>
    </r>
  </si>
  <si>
    <r>
      <rPr>
        <b/>
        <sz val="10"/>
        <color theme="1"/>
        <rFont val="等线"/>
        <family val="4"/>
        <charset val="134"/>
      </rPr>
      <t>深圳</t>
    </r>
    <r>
      <rPr>
        <b/>
        <sz val="10"/>
        <color theme="1"/>
        <rFont val="Times New Roman"/>
        <family val="1"/>
      </rPr>
      <t xml:space="preserve"> (Shenzhen)</t>
    </r>
  </si>
  <si>
    <r>
      <rPr>
        <b/>
        <sz val="10"/>
        <color theme="1"/>
        <rFont val="等线"/>
        <family val="4"/>
        <charset val="134"/>
      </rPr>
      <t>香港</t>
    </r>
    <r>
      <rPr>
        <b/>
        <sz val="10"/>
        <color theme="1"/>
        <rFont val="Times New Roman"/>
        <family val="1"/>
      </rPr>
      <t xml:space="preserve"> (Hong Kong)</t>
    </r>
  </si>
  <si>
    <r>
      <rPr>
        <b/>
        <sz val="10"/>
        <color theme="1"/>
        <rFont val="等线"/>
        <family val="4"/>
        <charset val="134"/>
      </rPr>
      <t>旧金山湾区</t>
    </r>
    <r>
      <rPr>
        <b/>
        <sz val="10"/>
        <color theme="1"/>
        <rFont val="Times New Roman"/>
        <family val="1"/>
      </rPr>
      <t xml:space="preserve"> (SF Bay Area)</t>
    </r>
  </si>
  <si>
    <r>
      <rPr>
        <b/>
        <sz val="10"/>
        <color theme="1"/>
        <rFont val="等线"/>
        <family val="4"/>
        <charset val="134"/>
      </rPr>
      <t>房价指数</t>
    </r>
    <r>
      <rPr>
        <b/>
        <sz val="10"/>
        <color theme="1"/>
        <rFont val="Times New Roman"/>
        <family val="1"/>
      </rPr>
      <t xml:space="preserve"> </t>
    </r>
  </si>
  <si>
    <r>
      <rPr>
        <b/>
        <sz val="10"/>
        <color theme="1"/>
        <rFont val="等线"/>
        <family val="4"/>
        <charset val="134"/>
      </rPr>
      <t>上月</t>
    </r>
    <r>
      <rPr>
        <b/>
        <sz val="10"/>
        <color theme="1"/>
        <rFont val="Times New Roman"/>
        <family val="1"/>
      </rPr>
      <t>=100</t>
    </r>
  </si>
  <si>
    <r>
      <rPr>
        <b/>
        <sz val="10"/>
        <color theme="1"/>
        <rFont val="等线"/>
        <family val="4"/>
        <charset val="134"/>
      </rPr>
      <t>上年同月</t>
    </r>
    <r>
      <rPr>
        <b/>
        <sz val="10"/>
        <color theme="1"/>
        <rFont val="Times New Roman"/>
        <family val="1"/>
      </rPr>
      <t>=100</t>
    </r>
  </si>
  <si>
    <r>
      <rPr>
        <b/>
        <sz val="10"/>
        <color theme="1"/>
        <rFont val="等线"/>
        <family val="4"/>
        <charset val="134"/>
      </rPr>
      <t>租金指数</t>
    </r>
  </si>
  <si>
    <r>
      <rPr>
        <b/>
        <sz val="10"/>
        <color theme="1"/>
        <rFont val="等线"/>
        <family val="4"/>
        <charset val="134"/>
      </rPr>
      <t>数据源</t>
    </r>
  </si>
  <si>
    <t>Date</t>
  </si>
  <si>
    <t>Date</t>
    <phoneticPr fontId="2" type="noConversion"/>
  </si>
  <si>
    <t>Value</t>
  </si>
  <si>
    <t>Value</t>
    <phoneticPr fontId="2" type="noConversion"/>
  </si>
  <si>
    <t>Type</t>
  </si>
  <si>
    <t>Type</t>
    <phoneticPr fontId="2" type="noConversion"/>
  </si>
  <si>
    <t>Region</t>
  </si>
  <si>
    <t>Region</t>
    <phoneticPr fontId="2" type="noConversion"/>
  </si>
  <si>
    <t>HousePriceIndex</t>
  </si>
  <si>
    <t>HousePriceIndex</t>
    <phoneticPr fontId="2" type="noConversion"/>
  </si>
  <si>
    <t>CN_SZ</t>
  </si>
  <si>
    <t>CN_SZ</t>
    <phoneticPr fontId="2" type="noConversion"/>
  </si>
  <si>
    <t>ReleaseDate(ObservationDate)</t>
  </si>
  <si>
    <t>ReleaseDate(ObservationDate)</t>
    <phoneticPr fontId="2" type="noConversion"/>
  </si>
  <si>
    <t>CN_HK</t>
    <phoneticPr fontId="2" type="noConversion"/>
  </si>
  <si>
    <t>索引</t>
  </si>
  <si>
    <t>Price_Prev_Month</t>
  </si>
  <si>
    <t>Price_Prev_Year</t>
  </si>
  <si>
    <t>MoM</t>
  </si>
  <si>
    <t>YoY</t>
  </si>
  <si>
    <t>YTD(%)</t>
  </si>
  <si>
    <t>CN_HK</t>
  </si>
  <si>
    <t>US_CA</t>
  </si>
  <si>
    <t>US_CA</t>
    <phoneticPr fontId="2" type="noConversion"/>
  </si>
  <si>
    <t>2020=100</t>
    <phoneticPr fontId="2" type="noConversion"/>
  </si>
  <si>
    <t>-</t>
    <phoneticPr fontId="2" type="noConversion"/>
  </si>
  <si>
    <t>2020平均值 = 100</t>
    <phoneticPr fontId="2" type="noConversion"/>
  </si>
  <si>
    <t>2020平均值 = 100</t>
  </si>
  <si>
    <t>YTD(%)</t>
    <phoneticPr fontId="2" type="noConversion"/>
  </si>
  <si>
    <t>国家统计局 (NBS)，深圳市住房和建设局|深圳市房屋租赁参考价格查询平台，安居客</t>
  </si>
  <si>
    <t>差饷物业估价署 (RVD)</t>
  </si>
  <si>
    <r>
      <t>S&amp;P Case-Shiller (via FRED)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Zillow</t>
    </r>
    <phoneticPr fontId="2" type="noConversion"/>
  </si>
  <si>
    <t>深圳 (Shenzhen)</t>
  </si>
  <si>
    <t>香港 (Hong Kong)</t>
  </si>
  <si>
    <t>旧金山湾区 (SF Bay Area)</t>
  </si>
  <si>
    <t>当前房价</t>
  </si>
  <si>
    <t>当前月租金</t>
  </si>
  <si>
    <t>租售比</t>
  </si>
  <si>
    <t>博林天瑞</t>
    <phoneticPr fontId="12" type="noConversion"/>
  </si>
  <si>
    <t>万科云城</t>
    <phoneticPr fontId="12" type="noConversion"/>
  </si>
  <si>
    <t>前海花园</t>
    <phoneticPr fontId="12" type="noConversion"/>
  </si>
  <si>
    <t>侨香公馆</t>
    <phoneticPr fontId="12" type="noConversion"/>
  </si>
  <si>
    <t>平均</t>
    <phoneticPr fontId="12" type="noConversion"/>
  </si>
  <si>
    <t>居室月租金</t>
    <phoneticPr fontId="12" type="noConversion"/>
  </si>
  <si>
    <t>居室面积</t>
    <phoneticPr fontId="12" type="noConversion"/>
  </si>
  <si>
    <t>当前月租金</t>
    <phoneticPr fontId="12" type="noConversion"/>
  </si>
  <si>
    <t>租售比</t>
    <phoneticPr fontId="12" type="noConversion"/>
  </si>
  <si>
    <t>新天鹅堡</t>
    <phoneticPr fontId="12" type="noConversion"/>
  </si>
  <si>
    <t>note：居室数、居室面积固定，都按照顶部的“X居室均价”计算，找到对应居室均价即可，可以统一口径、简化工作</t>
    <phoneticPr fontId="2" type="noConversion"/>
  </si>
  <si>
    <t>居室数量</t>
    <phoneticPr fontId="2" type="noConversion"/>
  </si>
  <si>
    <t>最新数据时间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</si>
</sst>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yyyy/mm/dd"/>
    <numFmt numFmtId="177" formatCode="yyyy/mm"/>
    <numFmt numFmtId="178" formatCode="0.00_ "/>
    <numFmt numFmtId="179" formatCode="0.00_);[Red]\(0.00\)"/>
    <numFmt numFmtId="180" formatCode="0.0"/>
    <numFmt numFmtId="181" formatCode="0.000_);[Red]\(0.000\)"/>
    <numFmt numFmtId="182" formatCode="0.000"/>
    <numFmt numFmtId="183" formatCode="0.0_ "/>
    <numFmt numFmtId="184" formatCode="0_ "/>
    <numFmt numFmtId="185" formatCode="#,##0_ "/>
    <numFmt numFmtId="186" formatCode="#,##0.00_ "/>
    <numFmt numFmtId="187" formatCode="0.000_ "/>
  </numFmts>
  <fonts count="16">
    <font>
      <sz val="22"/>
      <color theme="1"/>
      <name val="等线"/>
      <family val="2"/>
      <charset val="134"/>
      <scheme val="minor"/>
    </font>
    <font>
      <u/>
      <sz val="22"/>
      <color theme="1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b/>
      <sz val="10"/>
      <color theme="1"/>
      <name val="等线"/>
      <family val="4"/>
      <charset val="134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20"/>
      <color theme="1"/>
      <name val="等线"/>
      <family val="2"/>
      <charset val="134"/>
      <scheme val="minor"/>
    </font>
    <font>
      <sz val="22"/>
      <name val="等线"/>
      <family val="4"/>
      <charset val="134"/>
    </font>
    <font>
      <sz val="22"/>
      <color theme="1"/>
      <name val="等线"/>
      <family val="2"/>
      <charset val="134"/>
    </font>
    <font>
      <sz val="10"/>
      <color theme="1"/>
      <name val="Times New Roman"/>
      <family val="4"/>
      <charset val="134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0"/>
      <color theme="1"/>
      <name val="宋体"/>
      <family val="1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0"/>
  </cellStyleXfs>
  <cellXfs count="61">
    <xf numFmtId="0" fontId="0" fillId="0" borderId="0" xfId="0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4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8" fillId="0" borderId="0" xfId="0" applyNumberFormat="1" applyFont="1" applyAlignment="1"/>
    <xf numFmtId="181" fontId="0" fillId="0" borderId="0" xfId="0" applyNumberForma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82" fontId="0" fillId="0" borderId="0" xfId="0" applyNumberFormat="1" applyAlignment="1"/>
    <xf numFmtId="0" fontId="0" fillId="0" borderId="0" xfId="0" applyAlignment="1"/>
    <xf numFmtId="10" fontId="0" fillId="0" borderId="0" xfId="0" applyNumberFormat="1">
      <alignment vertical="center"/>
    </xf>
    <xf numFmtId="0" fontId="3" fillId="0" borderId="4" xfId="0" applyFont="1" applyBorder="1" applyAlignment="1">
      <alignment horizontal="center" vertical="center"/>
    </xf>
    <xf numFmtId="177" fontId="9" fillId="0" borderId="0" xfId="0" applyNumberFormat="1" applyFont="1">
      <alignment vertical="center"/>
    </xf>
    <xf numFmtId="183" fontId="0" fillId="0" borderId="0" xfId="0" applyNumberFormat="1">
      <alignment vertical="center"/>
    </xf>
    <xf numFmtId="183" fontId="8" fillId="0" borderId="0" xfId="0" applyNumberFormat="1" applyFont="1" applyAlignment="1"/>
    <xf numFmtId="178" fontId="0" fillId="0" borderId="0" xfId="0" applyNumberFormat="1" applyAlignment="1"/>
    <xf numFmtId="184" fontId="0" fillId="0" borderId="0" xfId="0" applyNumberFormat="1">
      <alignment vertical="center"/>
    </xf>
    <xf numFmtId="178" fontId="6" fillId="0" borderId="1" xfId="0" applyNumberFormat="1" applyFont="1" applyBorder="1" applyAlignment="1">
      <alignment horizontal="right"/>
    </xf>
    <xf numFmtId="178" fontId="6" fillId="0" borderId="2" xfId="0" applyNumberFormat="1" applyFont="1" applyBorder="1" applyAlignment="1">
      <alignment horizontal="right"/>
    </xf>
    <xf numFmtId="178" fontId="6" fillId="0" borderId="0" xfId="0" applyNumberFormat="1" applyFont="1" applyAlignment="1">
      <alignment horizontal="right"/>
    </xf>
    <xf numFmtId="178" fontId="6" fillId="0" borderId="3" xfId="0" applyNumberFormat="1" applyFont="1" applyBorder="1" applyAlignment="1">
      <alignment horizontal="right"/>
    </xf>
    <xf numFmtId="10" fontId="6" fillId="0" borderId="0" xfId="0" applyNumberFormat="1" applyFont="1" applyAlignment="1">
      <alignment horizontal="right"/>
    </xf>
    <xf numFmtId="10" fontId="6" fillId="0" borderId="3" xfId="0" applyNumberFormat="1" applyFont="1" applyBorder="1" applyAlignment="1">
      <alignment horizontal="right"/>
    </xf>
    <xf numFmtId="0" fontId="13" fillId="0" borderId="0" xfId="2"/>
    <xf numFmtId="0" fontId="13" fillId="0" borderId="0" xfId="2" applyAlignment="1">
      <alignment vertical="center"/>
    </xf>
    <xf numFmtId="10" fontId="13" fillId="0" borderId="0" xfId="2" applyNumberFormat="1" applyAlignment="1">
      <alignment horizontal="center" vertical="center"/>
    </xf>
    <xf numFmtId="0" fontId="13" fillId="0" borderId="0" xfId="2" applyAlignment="1">
      <alignment horizontal="center" vertical="center"/>
    </xf>
    <xf numFmtId="186" fontId="13" fillId="0" borderId="0" xfId="2" applyNumberFormat="1"/>
    <xf numFmtId="186" fontId="13" fillId="0" borderId="0" xfId="2" applyNumberFormat="1" applyAlignment="1">
      <alignment horizontal="center" vertical="center"/>
    </xf>
    <xf numFmtId="185" fontId="13" fillId="0" borderId="0" xfId="2" applyNumberFormat="1"/>
    <xf numFmtId="185" fontId="13" fillId="0" borderId="0" xfId="2" applyNumberFormat="1" applyAlignment="1">
      <alignment horizontal="center" vertical="center"/>
    </xf>
    <xf numFmtId="10" fontId="6" fillId="0" borderId="13" xfId="0" applyNumberFormat="1" applyFont="1" applyBorder="1" applyAlignment="1">
      <alignment horizontal="right"/>
    </xf>
    <xf numFmtId="185" fontId="6" fillId="0" borderId="0" xfId="0" applyNumberFormat="1" applyFont="1" applyAlignment="1">
      <alignment horizontal="right"/>
    </xf>
    <xf numFmtId="185" fontId="6" fillId="0" borderId="3" xfId="0" applyNumberFormat="1" applyFont="1" applyBorder="1" applyAlignment="1">
      <alignment horizontal="right"/>
    </xf>
    <xf numFmtId="177" fontId="15" fillId="0" borderId="0" xfId="1" applyNumberFormat="1" applyFont="1" applyBorder="1" applyAlignment="1">
      <alignment horizontal="right"/>
    </xf>
    <xf numFmtId="177" fontId="15" fillId="0" borderId="11" xfId="1" applyNumberFormat="1" applyFont="1" applyBorder="1" applyAlignment="1">
      <alignment horizontal="right"/>
    </xf>
    <xf numFmtId="187" fontId="0" fillId="0" borderId="0" xfId="0" applyNumberFormat="1" applyAlignment="1"/>
    <xf numFmtId="0" fontId="13" fillId="0" borderId="0" xfId="2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3">
    <cellStyle name="常规" xfId="0" builtinId="0"/>
    <cellStyle name="常规 2" xfId="2" xr:uid="{108F10BD-8D8C-4B54-B0CE-F874655030CE}"/>
    <cellStyle name="超链接" xfId="1" builtinId="8"/>
  </cellStyles>
  <dxfs count="49"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4" formatCode="0.00%"/>
    </dxf>
    <dxf>
      <numFmt numFmtId="14" formatCode="0.00%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14" formatCode="0.00%"/>
    </dxf>
    <dxf>
      <numFmt numFmtId="178" formatCode="0.00_ "/>
    </dxf>
    <dxf>
      <numFmt numFmtId="178" formatCode="0.00_ "/>
    </dxf>
    <dxf>
      <numFmt numFmtId="178" formatCode="0.00_ "/>
    </dxf>
    <dxf>
      <numFmt numFmtId="19" formatCode="yyyy/m/d"/>
    </dxf>
    <dxf>
      <numFmt numFmtId="0" formatCode="General"/>
    </dxf>
    <dxf>
      <numFmt numFmtId="0" formatCode="General"/>
    </dxf>
    <dxf>
      <font>
        <color auto="1"/>
        <family val="4"/>
      </font>
      <numFmt numFmtId="183" formatCode="0.0_ "/>
      <alignment horizontal="general" vertical="bottom" textRotation="0" wrapText="0" indent="0" justifyLastLine="0" shrinkToFit="0" readingOrder="0"/>
    </dxf>
    <dxf>
      <numFmt numFmtId="177" formatCode="yyyy/mm"/>
    </dxf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4" formatCode="0.00%"/>
    </dxf>
    <dxf>
      <numFmt numFmtId="14" formatCode="0.00%"/>
    </dxf>
    <dxf>
      <numFmt numFmtId="19" formatCode="yyyy/m/d"/>
    </dxf>
    <dxf>
      <numFmt numFmtId="0" formatCode="General"/>
    </dxf>
    <dxf>
      <numFmt numFmtId="0" formatCode="General"/>
    </dxf>
    <dxf>
      <numFmt numFmtId="178" formatCode="0.00_ "/>
      <alignment horizontal="general" vertical="bottom" textRotation="0" wrapText="0" indent="0" justifyLastLine="0" shrinkToFit="0" readingOrder="0"/>
    </dxf>
    <dxf>
      <numFmt numFmtId="177" formatCode="yyyy/mm"/>
    </dxf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9" formatCode="yyyy/m/d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等线"/>
        <family val="4"/>
        <charset val="134"/>
        <scheme val="none"/>
      </font>
      <numFmt numFmtId="180" formatCode="0.0"/>
      <alignment horizontal="general" vertical="bottom" textRotation="0" wrapText="0" indent="0" justifyLastLine="0" shrinkToFit="0" readingOrder="0"/>
    </dxf>
    <dxf>
      <numFmt numFmtId="177" formatCode="yyyy/mm"/>
    </dxf>
    <dxf>
      <numFmt numFmtId="14" formatCode="0.00%"/>
    </dxf>
    <dxf>
      <numFmt numFmtId="0" formatCode="General"/>
    </dxf>
    <dxf>
      <numFmt numFmtId="178" formatCode="0.00_ "/>
    </dxf>
    <dxf>
      <numFmt numFmtId="178" formatCode="0.00_ "/>
    </dxf>
    <dxf>
      <numFmt numFmtId="14" formatCode="0.00%"/>
    </dxf>
    <dxf>
      <numFmt numFmtId="19" formatCode="yyyy/m/d"/>
    </dxf>
    <dxf>
      <numFmt numFmtId="0" formatCode="General"/>
    </dxf>
    <dxf>
      <numFmt numFmtId="0" formatCode="General"/>
    </dxf>
    <dxf>
      <numFmt numFmtId="184" formatCode="0_ 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DF7DF26-4B5C-564F-A5E0-D6C42C4B65D0}" autoFormatId="16" applyNumberFormats="0" applyBorderFormats="0" applyFontFormats="0" applyPatternFormats="0" applyAlignmentFormats="0" applyWidthHeightFormats="0">
  <queryTableRefresh nextId="16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4" dataBound="0" tableColumnId="14"/>
      <queryTableField id="15" dataBound="0" tableColumnId="16"/>
    </queryTableFields>
    <queryTableDeletedFields count="1">
      <deletedField name="YTD(%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7F5A8E-596D-F943-B4A8-EFDEF6C4262B}" autoFormatId="16" applyNumberFormats="0" applyBorderFormats="0" applyFontFormats="0" applyPatternFormats="0" applyAlignmentFormats="0" applyWidthHeightFormats="0">
  <queryTableRefresh nextId="16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4" dataBound="0" tableColumnId="14"/>
      <queryTableField id="15" dataBound="0" tableColumnId="15"/>
    </queryTableFields>
    <queryTableDeletedFields count="1">
      <deletedField name="YTD(%)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706D6D1-0E54-BF43-ADD1-EDE020C5F149}" autoFormatId="16" applyNumberFormats="0" applyBorderFormats="0" applyFontFormats="0" applyPatternFormats="0" applyAlignmentFormats="0" applyWidthHeightFormats="0">
  <queryTableRefresh nextId="16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4" dataBound="0" tableColumnId="14"/>
      <queryTableField id="15" dataBound="0" tableColumnId="15"/>
    </queryTableFields>
    <queryTableDeletedFields count="1">
      <deletedField name="YTD(%)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71E2419-C1B1-CC41-919E-A0869129F2ED}" autoFormatId="16" applyNumberFormats="0" applyBorderFormats="0" applyFontFormats="0" applyPatternFormats="0" applyAlignmentFormats="0" applyWidthHeightFormats="0">
  <queryTableRefresh nextId="17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5" dataBound="0" tableColumnId="15"/>
      <queryTableField id="16" dataBound="0" tableColumnId="13"/>
    </queryTableFields>
    <queryTableDeletedFields count="1">
      <deletedField name="YTD(%)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4523F11-5391-AB45-86E1-ABAEF847435E}" autoFormatId="16" applyNumberFormats="0" applyBorderFormats="0" applyFontFormats="0" applyPatternFormats="0" applyAlignmentFormats="0" applyWidthHeightFormats="0">
  <queryTableRefresh nextId="17" unboundColumnsRight="2">
    <queryTableFields count="14">
      <queryTableField id="1" name="Date" tableColumnId="1"/>
      <queryTableField id="2" name="Value" tableColumnId="2"/>
      <queryTableField id="3" name="Region" tableColumnId="3"/>
      <queryTableField id="4" name="Type" tableColumnId="4"/>
      <queryTableField id="5" name="ReleaseDate(ObservationDate)" tableColumnId="5"/>
      <queryTableField id="6" name="索引" tableColumnId="6"/>
      <queryTableField id="7" name="Price_Prev_Month" tableColumnId="7"/>
      <queryTableField id="8" name="Price_Prev_Year" tableColumnId="8"/>
      <queryTableField id="9" name="MoM" tableColumnId="9"/>
      <queryTableField id="10" name="YoY" tableColumnId="10"/>
      <queryTableField id="11" name="上月=100" tableColumnId="11"/>
      <queryTableField id="12" name="上年同月=100" tableColumnId="12"/>
      <queryTableField id="15" dataBound="0" tableColumnId="14"/>
      <queryTableField id="16" dataBound="0" tableColumnId="15"/>
    </queryTableFields>
    <queryTableDeletedFields count="1">
      <deletedField name="YTD(%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01295C-C38B-984E-843D-A42CD6AA8A28}" name="Processed_CN_SZ" displayName="Processed_CN_SZ" ref="A1:N79" tableType="queryTable" totalsRowShown="0">
  <autoFilter ref="A1:N79" xr:uid="{2E01295C-C38B-984E-843D-A42CD6AA8A28}"/>
  <tableColumns count="14">
    <tableColumn id="1" xr3:uid="{064CA3F1-611E-6E4D-BA50-4AB6879EDABD}" uniqueName="1" name="Date" queryTableFieldId="1" dataDxfId="48"/>
    <tableColumn id="2" xr3:uid="{665CBE8E-9DF2-524E-91B7-129CDF2653E0}" uniqueName="2" name="Value" queryTableFieldId="2" dataDxfId="47"/>
    <tableColumn id="3" xr3:uid="{A518855E-46E2-8443-9B99-EDE21A97328E}" uniqueName="3" name="Region" queryTableFieldId="3" dataDxfId="46"/>
    <tableColumn id="4" xr3:uid="{A68BDB41-C2CA-4744-A394-0CB4DEFF6A06}" uniqueName="4" name="Type" queryTableFieldId="4" dataDxfId="45"/>
    <tableColumn id="5" xr3:uid="{1351B38B-C9A9-614E-AA99-119D47D44313}" uniqueName="5" name="ReleaseDate(ObservationDate)" queryTableFieldId="5" dataDxfId="44"/>
    <tableColumn id="6" xr3:uid="{CE0F8A2B-2577-9342-96F1-DC0BE4B7574C}" uniqueName="6" name="索引" queryTableFieldId="6"/>
    <tableColumn id="7" xr3:uid="{B5F88177-E09B-3A41-B3CC-ACFA45FB0829}" uniqueName="7" name="Price_Prev_Month" queryTableFieldId="7"/>
    <tableColumn id="8" xr3:uid="{8FA9F041-BAED-3347-917F-361D0514C198}" uniqueName="8" name="Price_Prev_Year" queryTableFieldId="8"/>
    <tableColumn id="9" xr3:uid="{C5A314E9-05EE-184B-9243-B515EC110200}" uniqueName="9" name="MoM" queryTableFieldId="9"/>
    <tableColumn id="10" xr3:uid="{69BE35B5-5685-834B-93E9-401DE9E0BB0C}" uniqueName="10" name="YoY" queryTableFieldId="10" dataDxfId="43"/>
    <tableColumn id="11" xr3:uid="{6234B9E2-2746-344C-865B-A9E323C0F6D0}" uniqueName="11" name="上月=100" queryTableFieldId="11" dataDxfId="42"/>
    <tableColumn id="12" xr3:uid="{4393B35E-6420-0342-99CA-D552DA8B097B}" uniqueName="12" name="上年同月=100" queryTableFieldId="12" dataDxfId="41"/>
    <tableColumn id="14" xr3:uid="{2F83B47A-3D60-42FE-866F-3AD28726BFF6}" uniqueName="14" name="2020平均值 = 100" queryTableFieldId="14" dataDxfId="40">
      <calculatedColumnFormula array="1">ROUND( Processed_CN_SZ[[#This Row],[Value]] / AVERAGE( _xlfn._xlws.FILTER(Processed_CN_SZ[Value], YEAR(Processed_CN_SZ[Date])=2020) ), 3) * 100</calculatedColumnFormula>
    </tableColumn>
    <tableColumn id="16" xr3:uid="{E6DE2068-14F8-4E82-8CB8-6DF66FC5310B}" uniqueName="16" name="YTD(%)" queryTableFieldId="15" dataDxfId="39">
      <calculatedColumnFormula array="1" xml:space="preserve"> Processed_CN_SZ[[#This Row],[Value]] / _xlfn.XLOOKUP(MIN(_xlfn._xlws.FILTER(Processed_CN_SZ[Date], YEAR(Processed_CN_SZ[Date])=YEAR(Processed_CN_SZ[[#This Row],[Date]]))), Processed_CN_SZ[Date], Processed_CN_SZ[Value]) - 1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8228E-8AFE-6949-B93A-9E80E041B773}" name="Processed_CN_HK" displayName="Processed_CN_HK" ref="A1:N77" tableType="queryTable" totalsRowShown="0">
  <autoFilter ref="A1:N77" xr:uid="{A668228E-8AFE-6949-B93A-9E80E041B773}"/>
  <tableColumns count="14">
    <tableColumn id="1" xr3:uid="{D1E59232-7D95-EB40-BDED-271655203721}" uniqueName="1" name="Date" queryTableFieldId="1" dataDxfId="38"/>
    <tableColumn id="2" xr3:uid="{2D53112B-D659-A242-9E60-601A62778041}" uniqueName="2" name="Value" queryTableFieldId="2" dataDxfId="37"/>
    <tableColumn id="3" xr3:uid="{FB733D7D-3357-9347-8C3C-FBC1E8714D89}" uniqueName="3" name="Region" queryTableFieldId="3" dataDxfId="36"/>
    <tableColumn id="4" xr3:uid="{25510988-ED4D-CF47-B2FA-F491EF2233C2}" uniqueName="4" name="Type" queryTableFieldId="4" dataDxfId="35"/>
    <tableColumn id="5" xr3:uid="{EA8DBF94-F481-DD47-894D-94CEB099662E}" uniqueName="5" name="ReleaseDate(ObservationDate)" queryTableFieldId="5" dataDxfId="34"/>
    <tableColumn id="6" xr3:uid="{0FA3C9DA-8ACC-BE4C-9195-5C3F595EEFA6}" uniqueName="6" name="索引" queryTableFieldId="6"/>
    <tableColumn id="7" xr3:uid="{9E8BE86A-6E51-FD45-8B89-9ECE251776FF}" uniqueName="7" name="Price_Prev_Month" queryTableFieldId="7"/>
    <tableColumn id="8" xr3:uid="{0EF4842E-A14E-2943-89CD-6E9DED18CD83}" uniqueName="8" name="Price_Prev_Year" queryTableFieldId="8"/>
    <tableColumn id="9" xr3:uid="{7D3CE6F5-4038-4745-B2DA-74CD4E2A4B80}" uniqueName="9" name="MoM" queryTableFieldId="9"/>
    <tableColumn id="10" xr3:uid="{26510B45-9F1B-0F42-BEE7-C9F7B5FFBCC9}" uniqueName="10" name="YoY" queryTableFieldId="10"/>
    <tableColumn id="11" xr3:uid="{B5FE8C8A-39FE-7E48-8771-1805657712FC}" uniqueName="11" name="上月=100" queryTableFieldId="11" dataDxfId="33"/>
    <tableColumn id="12" xr3:uid="{291EF3B4-68B9-3C4B-83FD-48EE50E683F9}" uniqueName="12" name="上年同月=100" queryTableFieldId="12" dataDxfId="32"/>
    <tableColumn id="14" xr3:uid="{97AC7CA8-41D9-4E88-8426-79650CEA0817}" uniqueName="14" name="2020平均值 = 100" queryTableFieldId="14" dataDxfId="31">
      <calculatedColumnFormula array="1">ROUND( Processed_CN_HK[[#This Row],[Value]] / AVERAGE( _xlfn._xlws.FILTER(Processed_CN_HK[Value], YEAR(Processed_CN_HK[Date])=2020) ), 3) * 100</calculatedColumnFormula>
    </tableColumn>
    <tableColumn id="15" xr3:uid="{2C829C79-D85B-4E4C-B5CB-E39F90E3DE07}" uniqueName="15" name="YTD(%)" queryTableFieldId="15" dataDxfId="30">
      <calculatedColumnFormula array="1" xml:space="preserve"> Processed_CN_HK[[#This Row],[Value]] / _xlfn.XLOOKUP(MIN(_xlfn._xlws.FILTER(Processed_CN_HK[Date], YEAR(Processed_CN_HK[Date])=YEAR(Processed_CN_HK[[#This Row],[Date]]))), Processed_CN_HK[Date], Processed_CN_HK[Value]) - 1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E0904-0077-5C4F-8D1D-BD5DB0E8300A}" name="Processed_US_CA" displayName="Processed_US_CA" ref="A1:N76" tableType="queryTable" totalsRowShown="0">
  <autoFilter ref="A1:N76" xr:uid="{345E0904-0077-5C4F-8D1D-BD5DB0E8300A}"/>
  <tableColumns count="14">
    <tableColumn id="1" xr3:uid="{839ECA1F-FCB2-CE49-909D-BEF917E29F4C}" uniqueName="1" name="Date" queryTableFieldId="1" dataDxfId="29"/>
    <tableColumn id="2" xr3:uid="{ED9CE58E-DF97-0143-85D3-BD189E485C22}" uniqueName="2" name="Value" queryTableFieldId="2" dataDxfId="28"/>
    <tableColumn id="3" xr3:uid="{A082EA6C-3FD4-9A4F-BE37-58CF3431BF01}" uniqueName="3" name="Region" queryTableFieldId="3" dataDxfId="27"/>
    <tableColumn id="4" xr3:uid="{4707178B-98B9-5B4D-9117-753D7946FE54}" uniqueName="4" name="Type" queryTableFieldId="4" dataDxfId="26"/>
    <tableColumn id="5" xr3:uid="{3BC2BE2E-6974-544C-A306-7605C0114ED2}" uniqueName="5" name="ReleaseDate(ObservationDate)" queryTableFieldId="5" dataDxfId="25"/>
    <tableColumn id="6" xr3:uid="{94483C88-97DB-7744-8BC3-FEB4218B04E9}" uniqueName="6" name="索引" queryTableFieldId="6"/>
    <tableColumn id="7" xr3:uid="{18983051-B28A-D042-93D7-1A3E91683F47}" uniqueName="7" name="Price_Prev_Month" queryTableFieldId="7"/>
    <tableColumn id="8" xr3:uid="{704EB47C-71BF-0049-B3DD-286BD8770C50}" uniqueName="8" name="Price_Prev_Year" queryTableFieldId="8"/>
    <tableColumn id="9" xr3:uid="{BC7646E6-3440-074A-8ABE-1E2E8C8A694B}" uniqueName="9" name="MoM" queryTableFieldId="9" dataDxfId="24"/>
    <tableColumn id="10" xr3:uid="{15C20BC9-F2AB-BA47-A914-9C06CC795547}" uniqueName="10" name="YoY" queryTableFieldId="10" dataDxfId="23"/>
    <tableColumn id="11" xr3:uid="{33595A2A-2E22-0E45-91B0-A904776E8F78}" uniqueName="11" name="上月=100" queryTableFieldId="11" dataDxfId="22"/>
    <tableColumn id="12" xr3:uid="{8B574CF7-30FC-DB46-B5FC-8BB08D2B8EE9}" uniqueName="12" name="上年同月=100" queryTableFieldId="12" dataDxfId="21"/>
    <tableColumn id="14" xr3:uid="{A196C850-E197-4160-9729-386BF2CE490D}" uniqueName="14" name="2020平均值 = 100" queryTableFieldId="14" dataDxfId="20">
      <calculatedColumnFormula array="1">ROUND( Processed_US_CA[[#This Row],[Value]] / AVERAGE( _xlfn._xlws.FILTER(Processed_US_CA[Value], YEAR(Processed_US_CA[Date])=2020) ), 3) * 100</calculatedColumnFormula>
    </tableColumn>
    <tableColumn id="15" xr3:uid="{30670149-8C43-4E95-8092-528D562A9E50}" uniqueName="15" name="YTD(%)" queryTableFieldId="15" dataDxfId="19">
      <calculatedColumnFormula array="1" xml:space="preserve"> Processed_US_CA[[#This Row],[Value]] / _xlfn.XLOOKUP(MIN(_xlfn._xlws.FILTER(Processed_US_CA[Date], YEAR(Processed_US_CA[Date])=YEAR(Processed_US_CA[[#This Row],[Date]]))), Processed_US_CA[Date], Processed_US_CA[Value]) - 1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A05C33-CE2D-DD44-B4CD-86EE7617844E}" name="Processed_RentPrice_CN_HK__2" displayName="Processed_RentPrice_CN_HK__2" ref="A1:N77" tableType="queryTable" totalsRowShown="0">
  <autoFilter ref="A1:N77" xr:uid="{EEA05C33-CE2D-DD44-B4CD-86EE7617844E}"/>
  <tableColumns count="14">
    <tableColumn id="1" xr3:uid="{3130BF33-BE82-C04F-A72F-C84B593F86FA}" uniqueName="1" name="Date" queryTableFieldId="1" dataDxfId="18"/>
    <tableColumn id="2" xr3:uid="{2E5D16A7-E903-1E44-AB24-5C76F52C87CD}" uniqueName="2" name="Value" queryTableFieldId="2" dataDxfId="17"/>
    <tableColumn id="3" xr3:uid="{6CCE28BD-ED53-2F4D-93B7-E762AF470851}" uniqueName="3" name="Region" queryTableFieldId="3" dataDxfId="16"/>
    <tableColumn id="4" xr3:uid="{178CA725-D68B-B648-88AD-EF529118A71D}" uniqueName="4" name="Type" queryTableFieldId="4" dataDxfId="15"/>
    <tableColumn id="5" xr3:uid="{281195CE-398D-EF4D-9983-284EDAC111F5}" uniqueName="5" name="ReleaseDate(ObservationDate)" queryTableFieldId="5" dataDxfId="14"/>
    <tableColumn id="6" xr3:uid="{9F48A39B-88B4-5E4F-9CDF-17207768EAAD}" uniqueName="6" name="索引" queryTableFieldId="6"/>
    <tableColumn id="7" xr3:uid="{2435F293-1039-394C-8076-3E8814871399}" uniqueName="7" name="Price_Prev_Month" queryTableFieldId="7"/>
    <tableColumn id="8" xr3:uid="{FACC17AA-C548-2D47-BAFC-77CD0FF063DA}" uniqueName="8" name="Price_Prev_Year" queryTableFieldId="8"/>
    <tableColumn id="9" xr3:uid="{3CFB213F-5732-B547-8893-6BF54E410418}" uniqueName="9" name="MoM" queryTableFieldId="9"/>
    <tableColumn id="10" xr3:uid="{E1C11F37-C8A2-6A48-8405-66C5D9D898ED}" uniqueName="10" name="YoY" queryTableFieldId="10"/>
    <tableColumn id="11" xr3:uid="{F254FC55-59DE-1E4B-8CA6-FCED7E5BB948}" uniqueName="11" name="上月=100" queryTableFieldId="11" dataDxfId="13"/>
    <tableColumn id="12" xr3:uid="{D2D36ACA-A8DD-8445-85F6-BADFA3AB8614}" uniqueName="12" name="上年同月=100" queryTableFieldId="12" dataDxfId="12"/>
    <tableColumn id="15" xr3:uid="{B5599869-C2AD-4ABD-9D4D-6A0233015A09}" uniqueName="15" name="2020平均值 = 100" queryTableFieldId="15" dataDxfId="11">
      <calculatedColumnFormula array="1">ROUND( Processed_RentPrice_CN_HK__2[[#This Row],[Value]] / AVERAGE( _xlfn._xlws.FILTER(Processed_RentPrice_CN_HK__2[Value], YEAR(Processed_RentPrice_CN_HK__2[Date])=2020) ), 3) * 100</calculatedColumnFormula>
    </tableColumn>
    <tableColumn id="13" xr3:uid="{FC1FC57C-5D93-4F50-B4C6-6631ED590F61}" uniqueName="13" name="YTD(%)" queryTableFieldId="16" dataDxfId="10">
      <calculatedColumnFormula array="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B058DC-488B-574D-889C-352D3A8E1EEA}" name="Processed_RentPrice_US_CA__2" displayName="Processed_RentPrice_US_CA__2" ref="A1:N77" tableType="queryTable" totalsRowShown="0">
  <autoFilter ref="A1:N77" xr:uid="{5BB058DC-488B-574D-889C-352D3A8E1EEA}"/>
  <tableColumns count="14">
    <tableColumn id="1" xr3:uid="{480AB120-2152-2440-BC03-EB6C8B2EDED7}" uniqueName="1" name="Date" queryTableFieldId="1" dataDxfId="9"/>
    <tableColumn id="2" xr3:uid="{592A00D3-04E6-094F-ADBE-1BEB0F9429F6}" uniqueName="2" name="Value" queryTableFieldId="2"/>
    <tableColumn id="3" xr3:uid="{0FA98592-C625-E34D-9F0F-171F6B1240F9}" uniqueName="3" name="Region" queryTableFieldId="3" dataDxfId="8"/>
    <tableColumn id="4" xr3:uid="{9244DBB9-10C6-644B-95F2-6F23448654DE}" uniqueName="4" name="Type" queryTableFieldId="4" dataDxfId="7"/>
    <tableColumn id="5" xr3:uid="{96245B1C-BEF6-3843-83E1-0628A8A88FFC}" uniqueName="5" name="ReleaseDate(ObservationDate)" queryTableFieldId="5" dataDxfId="6"/>
    <tableColumn id="6" xr3:uid="{83CFA6FA-CB34-D44B-A026-AA1F53CBE2EF}" uniqueName="6" name="索引" queryTableFieldId="6"/>
    <tableColumn id="7" xr3:uid="{1F515746-97D2-4B45-8178-2F9FB55D4F77}" uniqueName="7" name="Price_Prev_Month" queryTableFieldId="7"/>
    <tableColumn id="8" xr3:uid="{D4375531-2DFA-B441-B895-3DA51639AB7A}" uniqueName="8" name="Price_Prev_Year" queryTableFieldId="8"/>
    <tableColumn id="9" xr3:uid="{1DB01334-18D2-024F-8B59-E476271EA868}" uniqueName="9" name="MoM" queryTableFieldId="9" dataDxfId="5"/>
    <tableColumn id="10" xr3:uid="{4E901DB5-60A5-FC45-AA7E-A26C19A8A08C}" uniqueName="10" name="YoY" queryTableFieldId="10" dataDxfId="4"/>
    <tableColumn id="11" xr3:uid="{06ACCB27-0643-C64F-945F-32C76465ACC4}" uniqueName="11" name="上月=100" queryTableFieldId="11" dataDxfId="3"/>
    <tableColumn id="12" xr3:uid="{5563AE63-67E0-474C-82D3-F6A9813CC782}" uniqueName="12" name="上年同月=100" queryTableFieldId="12" dataDxfId="2"/>
    <tableColumn id="14" xr3:uid="{79A3D226-E60A-45AE-ACD2-7C2FDB7E74DA}" uniqueName="14" name="2020平均值 = 100" queryTableFieldId="15" dataDxfId="1">
      <calculatedColumnFormula array="1">ROUND( Processed_RentPrice_US_CA__2[[#This Row],[Value]] / AVERAGE( _xlfn._xlws.FILTER(Processed_RentPrice_US_CA__2[Value], YEAR(Processed_RentPrice_US_CA__2[Date])=2020) ), 3) * 100</calculatedColumnFormula>
    </tableColumn>
    <tableColumn id="15" xr3:uid="{9984D070-4FDB-4028-AAE4-36D98B5D396A}" uniqueName="15" name="YTD(%)" queryTableFieldId="16" dataDxfId="0">
      <calculatedColumnFormula array="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12EA-35E0-5847-9779-C5175DBEE4DA}">
  <dimension ref="A1:F20"/>
  <sheetViews>
    <sheetView tabSelected="1" zoomScale="110" zoomScaleNormal="110" workbookViewId="0">
      <selection activeCell="C5" sqref="A1:E19"/>
    </sheetView>
  </sheetViews>
  <sheetFormatPr defaultColWidth="10.78125" defaultRowHeight="27.5"/>
  <sheetData>
    <row r="1" spans="1:6">
      <c r="A1" s="44" t="s">
        <v>5</v>
      </c>
      <c r="B1" s="45"/>
      <c r="C1" s="12" t="s">
        <v>6</v>
      </c>
      <c r="D1" s="12" t="s">
        <v>7</v>
      </c>
      <c r="E1" s="13" t="s">
        <v>8</v>
      </c>
    </row>
    <row r="2" spans="1:6">
      <c r="A2" s="48" t="s">
        <v>64</v>
      </c>
      <c r="B2" s="49"/>
      <c r="C2" s="40">
        <f>_xlfn.XLOOKUP(MAX(Processed_CN_SZ[Date]), Processed_CN_SZ[Date], Processed_CN_SZ[Date])</f>
        <v>46174</v>
      </c>
      <c r="D2" s="40">
        <f>_xlfn.XLOOKUP(MAX(Processed_CN_HK[Date]), Processed_CN_HK[Date], Processed_CN_HK[Date])</f>
        <v>46113</v>
      </c>
      <c r="E2" s="41">
        <f>_xlfn.XLOOKUP(MAX(Processed_US_CA[Date]), Processed_US_CA[Date], Processed_US_CA[Date])</f>
        <v>46082</v>
      </c>
    </row>
    <row r="3" spans="1:6">
      <c r="A3" s="56" t="s">
        <v>9</v>
      </c>
      <c r="B3" s="3" t="s">
        <v>38</v>
      </c>
      <c r="C3" s="23" cm="1">
        <f t="array" ref="C3">ROUND(_xlfn.XLOOKUP(MAX(Processed_CN_SZ[Date]), Processed_CN_SZ[Date], Processed_CN_SZ[Value]) / AVERAGE(_xlfn._xlws.FILTER(Processed_CN_SZ[Value], YEAR(Processed_CN_SZ[Date])=2020)), 3) * 100</f>
        <v>93.600000000000009</v>
      </c>
      <c r="D3" s="23" cm="1">
        <f t="array" ref="D3">ROUND(_xlfn.XLOOKUP(MAX(Processed_CN_HK[Date]), Processed_CN_HK[Date], Processed_CN_HK[Value]) / AVERAGE(_xlfn._xlws.FILTER(Processed_CN_HK[Value], YEAR(Processed_CN_HK[Date])=2020)), 3) * 100</f>
        <v>83.1</v>
      </c>
      <c r="E3" s="24" cm="1">
        <f t="array" ref="E3">ROUND(_xlfn.XLOOKUP(MAX(Processed_US_CA[Date]), Processed_US_CA[Date], Processed_US_CA[Value]) / AVERAGE(_xlfn._xlws.FILTER(Processed_US_CA[Value], YEAR(Processed_US_CA[Date])=2020)), 3) * 100</f>
        <v>129.1</v>
      </c>
    </row>
    <row r="4" spans="1:6">
      <c r="A4" s="57"/>
      <c r="B4" s="1" t="s">
        <v>10</v>
      </c>
      <c r="C4" s="25">
        <f>_xlfn.XLOOKUP(MAX(Processed_CN_SZ[Date]), Processed_CN_SZ[Date], Processed_CN_SZ[上月=100])</f>
        <v>99.746115374336654</v>
      </c>
      <c r="D4" s="25">
        <f>_xlfn.XLOOKUP(MAX(Processed_CN_HK[Date]), Processed_CN_HK[Date], Processed_CN_HK[上月=100])</f>
        <v>101.21483375959079</v>
      </c>
      <c r="E4" s="26">
        <f>_xlfn.XLOOKUP(MAX(Processed_US_CA[Date]), Processed_US_CA[Date], Processed_US_CA[上月=100])</f>
        <v>99.643246187418839</v>
      </c>
    </row>
    <row r="5" spans="1:6">
      <c r="A5" s="57"/>
      <c r="B5" s="1" t="s">
        <v>11</v>
      </c>
      <c r="C5" s="25">
        <f>_xlfn.XLOOKUP(MAX(Processed_CN_SZ[Date]), Processed_CN_SZ[Date], Processed_CN_SZ[上年同月=100])</f>
        <v>91.736306179775283</v>
      </c>
      <c r="D5" s="25">
        <f>_xlfn.XLOOKUP(MAX(Processed_CN_HK[Date]), Processed_CN_HK[Date], Processed_CN_HK[上年同月=100])</f>
        <v>110.50610820244329</v>
      </c>
      <c r="E5" s="26">
        <f>_xlfn.XLOOKUP(MAX(Processed_US_CA[Date]), Processed_US_CA[Date], Processed_US_CA[上年同月=100])</f>
        <v>100.47197258480809</v>
      </c>
    </row>
    <row r="6" spans="1:6">
      <c r="A6" s="57"/>
      <c r="B6" s="1" t="s">
        <v>2</v>
      </c>
      <c r="C6" s="27">
        <f>_xlfn.XLOOKUP(MAX(Processed_CN_SZ[Date]), Processed_CN_SZ[Date], Processed_CN_SZ[YoY])</f>
        <v>-8.2636938202247184E-2</v>
      </c>
      <c r="D6" s="27">
        <f>_xlfn.XLOOKUP(MAX(Processed_CN_HK[Date]), Processed_CN_HK[Date], Processed_CN_HK[YoY])</f>
        <v>0.10506108202443289</v>
      </c>
      <c r="E6" s="28">
        <f>_xlfn.XLOOKUP(MAX(Processed_US_CA[Date]), Processed_US_CA[Date], Processed_US_CA[YoY])</f>
        <v>4.7197258480809754E-3</v>
      </c>
    </row>
    <row r="7" spans="1:6">
      <c r="A7" s="57"/>
      <c r="B7" s="1" t="s">
        <v>3</v>
      </c>
      <c r="C7" s="27">
        <f>_xlfn.XLOOKUP(MAX(Processed_CN_SZ[Date]), Processed_CN_SZ[Date], Processed_CN_SZ[MoM])</f>
        <v>-2.5388462566334519E-3</v>
      </c>
      <c r="D7" s="27">
        <f>_xlfn.XLOOKUP(MAX(Processed_CN_HK[Date]), Processed_CN_HK[Date], Processed_CN_HK[MoM])</f>
        <v>1.2148337595907964E-2</v>
      </c>
      <c r="E7" s="28">
        <f>_xlfn.XLOOKUP(MAX(Processed_US_CA[Date]), Processed_US_CA[Date], Processed_US_CA[MoM])</f>
        <v>-3.567538125811578E-3</v>
      </c>
    </row>
    <row r="8" spans="1:6">
      <c r="A8" s="58"/>
      <c r="B8" s="2" t="s">
        <v>4</v>
      </c>
      <c r="C8" s="27">
        <f>_xlfn.XLOOKUP(MAX(Processed_CN_SZ[Date]), Processed_CN_SZ[Date], Processed_CN_SZ[YTD(%)])</f>
        <v>-2.1296122869451262E-2</v>
      </c>
      <c r="D8" s="27">
        <f>_xlfn.XLOOKUP(MAX(Processed_CN_HK[Date]), Processed_CN_HK[Date], Processed_CN_HK[YTD(%)])</f>
        <v>4.488448844884485E-2</v>
      </c>
      <c r="E8" s="28">
        <f>_xlfn.XLOOKUP(MAX(Processed_US_CA[Date]), Processed_US_CA[Date], Processed_US_CA[YTD(%)])</f>
        <v>-2.2773766335568713E-3</v>
      </c>
    </row>
    <row r="9" spans="1:6">
      <c r="A9" s="56" t="s">
        <v>12</v>
      </c>
      <c r="B9" s="1" t="s">
        <v>38</v>
      </c>
      <c r="C9" s="23" t="s">
        <v>39</v>
      </c>
      <c r="D9" s="23" cm="1">
        <f t="array" ref="D9">ROUND(_xlfn.XLOOKUP(MAX(Processed_RentPrice_CN_HK__2[Date]), Processed_RentPrice_CN_HK__2[Date], Processed_RentPrice_CN_HK__2[Value]) / AVERAGE(_xlfn._xlws.FILTER(Processed_RentPrice_CN_HK__2[Value], YEAR(Processed_RentPrice_CN_HK__2[Date])=2020)), 3) * 100</f>
        <v>112.79999999999998</v>
      </c>
      <c r="E9" s="24" cm="1">
        <f t="array" ref="E9">ROUND(_xlfn.XLOOKUP(MAX(Processed_RentPrice_US_CA__2[Date]), Processed_RentPrice_US_CA__2[Date], Processed_RentPrice_US_CA__2[Value]) / AVERAGE(_xlfn._xlws.FILTER(Processed_RentPrice_US_CA__2[Value], YEAR(Processed_RentPrice_US_CA__2[Date])=2020)), 3) * 100</f>
        <v>113.9</v>
      </c>
    </row>
    <row r="10" spans="1:6">
      <c r="A10" s="57"/>
      <c r="B10" s="1" t="s">
        <v>10</v>
      </c>
      <c r="C10" s="25" t="s">
        <v>39</v>
      </c>
      <c r="D10" s="25">
        <f>_xlfn.XLOOKUP(MAX(Processed_RentPrice_CN_HK__2[Date]), Processed_RentPrice_CN_HK__2[Date], Processed_RentPrice_CN_HK__2[上月=100])</f>
        <v>100.59347181008901</v>
      </c>
      <c r="E10" s="26">
        <f>_xlfn.XLOOKUP(MAX(Processed_RentPrice_US_CA__2[Date]), Processed_RentPrice_US_CA__2[Date], Processed_RentPrice_US_CA__2[上月=100])</f>
        <v>100.75850094765282</v>
      </c>
      <c r="F10" s="4"/>
    </row>
    <row r="11" spans="1:6">
      <c r="A11" s="57"/>
      <c r="B11" s="1" t="s">
        <v>11</v>
      </c>
      <c r="C11" s="25" t="s">
        <v>39</v>
      </c>
      <c r="D11" s="25">
        <f>_xlfn.XLOOKUP(MAX(Processed_RentPrice_CN_HK__2[Date]), Processed_RentPrice_CN_HK__2[Date], Processed_RentPrice_CN_HK__2[上年同月=100])</f>
        <v>104.89943269726663</v>
      </c>
      <c r="E11" s="26">
        <f>_xlfn.XLOOKUP(MAX(Processed_RentPrice_US_CA__2[Date]), Processed_RentPrice_US_CA__2[Date], Processed_RentPrice_US_CA__2[上年同月=100])</f>
        <v>102.65970376143498</v>
      </c>
    </row>
    <row r="12" spans="1:6">
      <c r="A12" s="57"/>
      <c r="B12" s="1" t="s">
        <v>2</v>
      </c>
      <c r="C12" s="27" t="s">
        <v>39</v>
      </c>
      <c r="D12" s="27">
        <f>_xlfn.XLOOKUP(MAX(Processed_RentPrice_CN_HK__2[Date]), Processed_RentPrice_CN_HK__2[Date], Processed_RentPrice_CN_HK__2[YoY])</f>
        <v>4.899432697266632E-2</v>
      </c>
      <c r="E12" s="28">
        <f>_xlfn.XLOOKUP(MAX(Processed_RentPrice_US_CA__2[Date]), Processed_RentPrice_US_CA__2[Date], Processed_RentPrice_US_CA__2[YoY])</f>
        <v>2.6597037614349773E-2</v>
      </c>
    </row>
    <row r="13" spans="1:6">
      <c r="A13" s="57"/>
      <c r="B13" s="1" t="s">
        <v>3</v>
      </c>
      <c r="C13" s="27" t="s">
        <v>39</v>
      </c>
      <c r="D13" s="27">
        <f>_xlfn.XLOOKUP(MAX(Processed_RentPrice_CN_HK__2[Date]), Processed_RentPrice_CN_HK__2[Date], Processed_RentPrice_CN_HK__2[MoM])</f>
        <v>5.9347181008902921E-3</v>
      </c>
      <c r="E13" s="28">
        <f>_xlfn.XLOOKUP(MAX(Processed_RentPrice_US_CA__2[Date]), Processed_RentPrice_US_CA__2[Date], Processed_RentPrice_US_CA__2[MoM])</f>
        <v>7.5850094765282606E-3</v>
      </c>
    </row>
    <row r="14" spans="1:6">
      <c r="A14" s="58"/>
      <c r="B14" s="17" t="s">
        <v>4</v>
      </c>
      <c r="C14" s="37" t="s">
        <v>39</v>
      </c>
      <c r="D14" s="27">
        <f>_xlfn.XLOOKUP(MAX(Processed_RentPrice_CN_HK__2[Date]), Processed_RentPrice_CN_HK__2[Date], Processed_RentPrice_CN_HK__2[YTD(%)])</f>
        <v>1.294820717131473E-2</v>
      </c>
      <c r="E14" s="28">
        <f>_xlfn.XLOOKUP(MAX(Processed_RentPrice_US_CA__2[Date]), Processed_RentPrice_US_CA__2[Date], Processed_RentPrice_US_CA__2[YTD(%)])</f>
        <v>1.0930871829163857E-2</v>
      </c>
    </row>
    <row r="15" spans="1:6">
      <c r="A15" s="59" t="s">
        <v>49</v>
      </c>
      <c r="B15" s="60"/>
      <c r="C15" s="27" t="s">
        <v>39</v>
      </c>
      <c r="D15" s="38">
        <f>'price-to-rent ratio'!H3</f>
        <v>182317</v>
      </c>
      <c r="E15" s="39">
        <f>'price-to-rent ratio'!I3</f>
        <v>1369171</v>
      </c>
    </row>
    <row r="16" spans="1:6">
      <c r="A16" s="59" t="s">
        <v>50</v>
      </c>
      <c r="B16" s="60"/>
      <c r="C16" s="37" t="s">
        <v>39</v>
      </c>
      <c r="D16" s="38">
        <f>'price-to-rent ratio'!H6</f>
        <v>421</v>
      </c>
      <c r="E16" s="39">
        <f>'price-to-rent ratio'!I6</f>
        <v>4000</v>
      </c>
    </row>
    <row r="17" spans="1:5">
      <c r="A17" s="59" t="s">
        <v>51</v>
      </c>
      <c r="B17" s="60"/>
      <c r="C17" s="27">
        <f>'price-to-rent ratio'!G7</f>
        <v>1.9534038537971699E-2</v>
      </c>
      <c r="D17" s="27">
        <f>'price-to-rent ratio'!H7</f>
        <v>2.770997767624522E-2</v>
      </c>
      <c r="E17" s="28">
        <f>'price-to-rent ratio'!I7</f>
        <v>3.5057710103412944E-2</v>
      </c>
    </row>
    <row r="18" spans="1:5" ht="27.5" customHeight="1">
      <c r="A18" s="44" t="s">
        <v>13</v>
      </c>
      <c r="B18" s="45"/>
      <c r="C18" s="54" t="s">
        <v>43</v>
      </c>
      <c r="D18" s="50" t="s">
        <v>44</v>
      </c>
      <c r="E18" s="52" t="s">
        <v>45</v>
      </c>
    </row>
    <row r="19" spans="1:5">
      <c r="A19" s="46"/>
      <c r="B19" s="47"/>
      <c r="C19" s="55"/>
      <c r="D19" s="51"/>
      <c r="E19" s="53"/>
    </row>
    <row r="20" spans="1:5" ht="27.5" customHeight="1"/>
  </sheetData>
  <mergeCells count="11">
    <mergeCell ref="A1:B1"/>
    <mergeCell ref="A18:B19"/>
    <mergeCell ref="A2:B2"/>
    <mergeCell ref="D18:D19"/>
    <mergeCell ref="E18:E19"/>
    <mergeCell ref="C18:C19"/>
    <mergeCell ref="A3:A8"/>
    <mergeCell ref="A9:A14"/>
    <mergeCell ref="A15:B15"/>
    <mergeCell ref="A16:B16"/>
    <mergeCell ref="A17:B17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EB46-38A9-4FB9-A4D2-F51E8083CBB5}">
  <dimension ref="A1:I10"/>
  <sheetViews>
    <sheetView workbookViewId="0">
      <selection sqref="A1:I8"/>
    </sheetView>
  </sheetViews>
  <sheetFormatPr defaultRowHeight="27.5" customHeight="1"/>
  <cols>
    <col min="1" max="1" width="8.4765625" style="29" bestFit="1" customWidth="1"/>
    <col min="2" max="6" width="8.4765625" style="29" customWidth="1"/>
    <col min="7" max="7" width="7.43359375" style="29" bestFit="1" customWidth="1"/>
    <col min="8" max="8" width="8.2578125" style="29" bestFit="1" customWidth="1"/>
    <col min="9" max="9" width="11.34765625" style="29" bestFit="1" customWidth="1"/>
    <col min="10" max="10" width="4.60546875" style="29" bestFit="1" customWidth="1"/>
    <col min="11" max="16384" width="8.6953125" style="29"/>
  </cols>
  <sheetData>
    <row r="1" spans="1:9" ht="27.5" customHeight="1">
      <c r="A1" s="32"/>
      <c r="B1" s="43" t="s">
        <v>46</v>
      </c>
      <c r="C1" s="43"/>
      <c r="D1" s="43"/>
      <c r="E1" s="43"/>
      <c r="F1" s="43"/>
      <c r="G1" s="43"/>
      <c r="H1" s="32" t="s">
        <v>47</v>
      </c>
      <c r="I1" s="32" t="s">
        <v>48</v>
      </c>
    </row>
    <row r="2" spans="1:9" ht="27.5" customHeight="1">
      <c r="A2" s="32"/>
      <c r="B2" s="32" t="s">
        <v>52</v>
      </c>
      <c r="C2" s="32" t="s">
        <v>61</v>
      </c>
      <c r="D2" s="32" t="s">
        <v>53</v>
      </c>
      <c r="E2" s="32" t="s">
        <v>54</v>
      </c>
      <c r="F2" s="32" t="s">
        <v>55</v>
      </c>
      <c r="G2" s="32" t="s">
        <v>56</v>
      </c>
      <c r="H2" s="32"/>
      <c r="I2" s="32"/>
    </row>
    <row r="3" spans="1:9" ht="27.5" customHeight="1">
      <c r="A3" s="32" t="s">
        <v>49</v>
      </c>
      <c r="B3" s="36">
        <v>90930</v>
      </c>
      <c r="C3" s="36">
        <v>229213</v>
      </c>
      <c r="D3" s="36">
        <v>50393</v>
      </c>
      <c r="E3" s="36">
        <v>59090</v>
      </c>
      <c r="F3" s="36">
        <v>42046</v>
      </c>
      <c r="G3" s="35"/>
      <c r="H3" s="35">
        <v>182317</v>
      </c>
      <c r="I3" s="35">
        <v>1369171</v>
      </c>
    </row>
    <row r="4" spans="1:9" ht="27.5" customHeight="1">
      <c r="A4" s="32" t="s">
        <v>57</v>
      </c>
      <c r="B4" s="36">
        <v>8641</v>
      </c>
      <c r="C4" s="36">
        <v>33800</v>
      </c>
      <c r="D4" s="36">
        <v>9543</v>
      </c>
      <c r="E4" s="36">
        <v>7673</v>
      </c>
      <c r="F4" s="36">
        <v>13033</v>
      </c>
      <c r="G4" s="35"/>
      <c r="H4" s="35"/>
      <c r="I4" s="35"/>
    </row>
    <row r="5" spans="1:9" ht="27.5" customHeight="1">
      <c r="A5" s="32" t="s">
        <v>58</v>
      </c>
      <c r="B5" s="36">
        <v>85</v>
      </c>
      <c r="C5" s="36">
        <v>132</v>
      </c>
      <c r="D5" s="36">
        <v>92</v>
      </c>
      <c r="E5" s="36">
        <v>90</v>
      </c>
      <c r="F5" s="36">
        <v>129</v>
      </c>
      <c r="G5" s="35"/>
      <c r="H5" s="35"/>
      <c r="I5" s="35"/>
    </row>
    <row r="6" spans="1:9" ht="27.5" customHeight="1">
      <c r="A6" s="32" t="s">
        <v>59</v>
      </c>
      <c r="B6" s="34">
        <f>B4/B5</f>
        <v>101.65882352941176</v>
      </c>
      <c r="C6" s="34">
        <f>C4/C5</f>
        <v>256.06060606060606</v>
      </c>
      <c r="D6" s="34">
        <f>D4/D5</f>
        <v>103.72826086956522</v>
      </c>
      <c r="E6" s="34">
        <f>E4/E5</f>
        <v>85.25555555555556</v>
      </c>
      <c r="F6" s="34">
        <f>F4/F5</f>
        <v>101.03100775193798</v>
      </c>
      <c r="G6" s="33"/>
      <c r="H6" s="33">
        <v>421</v>
      </c>
      <c r="I6" s="33">
        <v>4000</v>
      </c>
    </row>
    <row r="7" spans="1:9" ht="27.5" customHeight="1">
      <c r="A7" s="32" t="s">
        <v>60</v>
      </c>
      <c r="B7" s="31">
        <f>B6*12/B3</f>
        <v>1.3415879053700003E-2</v>
      </c>
      <c r="C7" s="31">
        <f>C6*12/C3</f>
        <v>1.3405554103507536E-2</v>
      </c>
      <c r="D7" s="31">
        <f>D6*12/D3</f>
        <v>2.4700635612779204E-2</v>
      </c>
      <c r="E7" s="31">
        <f>E6*12/E3</f>
        <v>1.7313702262086086E-2</v>
      </c>
      <c r="F7" s="31">
        <f>F6*12/F3</f>
        <v>2.8834421657785658E-2</v>
      </c>
      <c r="G7" s="31">
        <f>(SUM(B7:F7))/5</f>
        <v>1.9534038537971699E-2</v>
      </c>
      <c r="H7" s="31">
        <f>H6*12/H3</f>
        <v>2.770997767624522E-2</v>
      </c>
      <c r="I7" s="31">
        <f>I6*12/I3</f>
        <v>3.5057710103412944E-2</v>
      </c>
    </row>
    <row r="8" spans="1:9" ht="27.5" customHeight="1">
      <c r="A8" s="36" t="s">
        <v>63</v>
      </c>
      <c r="B8" s="36">
        <v>2</v>
      </c>
      <c r="C8" s="36">
        <v>2</v>
      </c>
      <c r="D8" s="36">
        <v>3</v>
      </c>
      <c r="E8" s="36">
        <v>3</v>
      </c>
      <c r="F8" s="36">
        <v>3</v>
      </c>
    </row>
    <row r="9" spans="1:9" ht="27.5" customHeight="1">
      <c r="A9" s="30" t="s">
        <v>62</v>
      </c>
    </row>
    <row r="10" spans="1:9" ht="27.5" customHeight="1">
      <c r="A10" s="30"/>
    </row>
  </sheetData>
  <mergeCells count="1">
    <mergeCell ref="B1:G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E788-1B69-1D47-87B7-5ECE4822BC1E}">
  <dimension ref="A1:N79"/>
  <sheetViews>
    <sheetView topLeftCell="A70" workbookViewId="0">
      <selection activeCell="A77" sqref="A77:N79"/>
    </sheetView>
  </sheetViews>
  <sheetFormatPr defaultColWidth="10.78125" defaultRowHeight="27.5"/>
  <cols>
    <col min="1" max="1" width="10.4765625" bestFit="1" customWidth="1"/>
    <col min="2" max="2" width="8.82421875" bestFit="1" customWidth="1"/>
    <col min="3" max="3" width="8.34765625" hidden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2421875" bestFit="1" customWidth="1"/>
    <col min="10" max="10" width="7.43359375" customWidth="1"/>
    <col min="11" max="11" width="10.390625" style="7" bestFit="1" customWidth="1"/>
    <col min="12" max="12" width="14.171875" style="7" bestFit="1" customWidth="1"/>
    <col min="13" max="13" width="18.0859375" customWidth="1"/>
    <col min="14" max="14" width="10.78125" style="16"/>
  </cols>
  <sheetData>
    <row r="1" spans="1:14">
      <c r="A1" t="s">
        <v>14</v>
      </c>
      <c r="B1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s="7" t="s">
        <v>0</v>
      </c>
      <c r="L1" s="7" t="s">
        <v>1</v>
      </c>
      <c r="M1" t="s">
        <v>41</v>
      </c>
      <c r="N1" s="16" t="s">
        <v>42</v>
      </c>
    </row>
    <row r="2" spans="1:14">
      <c r="A2" s="8">
        <f>rawData_HousePriceIndex_SZ!A2</f>
        <v>43831</v>
      </c>
      <c r="B2" s="22">
        <f>rawData_HousePriceIndex_SZ!B2</f>
        <v>54914</v>
      </c>
      <c r="C2" t="s">
        <v>24</v>
      </c>
      <c r="D2" t="s">
        <v>22</v>
      </c>
      <c r="E2" s="8">
        <v>43831</v>
      </c>
      <c r="F2">
        <v>0</v>
      </c>
      <c r="J2" s="16"/>
      <c r="M2" cm="1">
        <f t="array" ref="M2">ROUND( Processed_CN_SZ[[#This Row],[Value]] / AVERAGE( _xlfn._xlws.FILTER(Processed_CN_SZ[Value], YEAR(Processed_CN_SZ[Date])=2020) ), 3) * 100</f>
        <v>98.3</v>
      </c>
      <c r="N2" s="16" cm="1">
        <f t="array" ref="N2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3" spans="1:14">
      <c r="A3" s="8">
        <f>rawData_HousePriceIndex_SZ!A3</f>
        <v>43862</v>
      </c>
      <c r="B3" s="22">
        <f>rawData_HousePriceIndex_SZ!B3</f>
        <v>55088</v>
      </c>
      <c r="C3" t="s">
        <v>24</v>
      </c>
      <c r="D3" t="s">
        <v>22</v>
      </c>
      <c r="E3" s="8">
        <v>45292</v>
      </c>
      <c r="F3">
        <v>1</v>
      </c>
      <c r="G3">
        <v>54914</v>
      </c>
      <c r="I3" s="16">
        <f>(B3-B2)/B2</f>
        <v>3.1685908875696543E-3</v>
      </c>
      <c r="J3" s="16"/>
      <c r="K3" s="7">
        <f>Processed_CN_SZ[[#This Row],[Value]]/B2 * 100</f>
        <v>100.31685908875696</v>
      </c>
      <c r="M3" cm="1">
        <f t="array" ref="M3">ROUND( Processed_CN_SZ[[#This Row],[Value]] / AVERAGE( _xlfn._xlws.FILTER(Processed_CN_SZ[Value], YEAR(Processed_CN_SZ[Date])=2020) ), 3) * 100</f>
        <v>98.6</v>
      </c>
      <c r="N3" s="16" cm="1">
        <f t="array" ref="N3" xml:space="preserve"> Processed_CN_SZ[[#This Row],[Value]] / _xlfn.XLOOKUP(MIN(_xlfn._xlws.FILTER(Processed_CN_SZ[Date], YEAR(Processed_CN_SZ[Date])=YEAR(Processed_CN_SZ[[#This Row],[Date]]))), Processed_CN_SZ[Date], Processed_CN_SZ[Value]) - 1</f>
        <v>3.1685908875696001E-3</v>
      </c>
    </row>
    <row r="4" spans="1:14">
      <c r="A4" s="8">
        <f>rawData_HousePriceIndex_SZ!A4</f>
        <v>43891</v>
      </c>
      <c r="B4" s="22">
        <f>rawData_HousePriceIndex_SZ!B4</f>
        <v>55251</v>
      </c>
      <c r="C4" t="s">
        <v>24</v>
      </c>
      <c r="D4" t="s">
        <v>22</v>
      </c>
      <c r="E4" s="8">
        <v>45323</v>
      </c>
      <c r="F4">
        <v>2</v>
      </c>
      <c r="G4">
        <v>63948</v>
      </c>
      <c r="I4" s="16">
        <f t="shared" ref="I4:I67" si="0">(B4-B3)/B3</f>
        <v>2.9589021202439734E-3</v>
      </c>
      <c r="J4" s="16"/>
      <c r="K4" s="7">
        <f>Processed_CN_SZ[[#This Row],[Value]]/B3 * 100</f>
        <v>100.2958902120244</v>
      </c>
      <c r="M4" cm="1">
        <f t="array" ref="M4">ROUND( Processed_CN_SZ[[#This Row],[Value]] / AVERAGE( _xlfn._xlws.FILTER(Processed_CN_SZ[Value], YEAR(Processed_CN_SZ[Date])=2020) ), 3) * 100</f>
        <v>98.9</v>
      </c>
      <c r="N4" s="16" cm="1">
        <f t="array" ref="N4" xml:space="preserve"> Processed_CN_SZ[[#This Row],[Value]] / _xlfn.XLOOKUP(MIN(_xlfn._xlws.FILTER(Processed_CN_SZ[Date], YEAR(Processed_CN_SZ[Date])=YEAR(Processed_CN_SZ[[#This Row],[Date]]))), Processed_CN_SZ[Date], Processed_CN_SZ[Value]) - 1</f>
        <v>6.136868558109132E-3</v>
      </c>
    </row>
    <row r="5" spans="1:14">
      <c r="A5" s="8">
        <f>rawData_HousePriceIndex_SZ!A5</f>
        <v>43922</v>
      </c>
      <c r="B5" s="22">
        <f>rawData_HousePriceIndex_SZ!B5</f>
        <v>55396</v>
      </c>
      <c r="C5" t="s">
        <v>24</v>
      </c>
      <c r="D5" t="s">
        <v>22</v>
      </c>
      <c r="E5" s="8">
        <v>45352</v>
      </c>
      <c r="F5">
        <v>3</v>
      </c>
      <c r="G5">
        <v>65093</v>
      </c>
      <c r="I5" s="16">
        <f t="shared" si="0"/>
        <v>2.6243868889250874E-3</v>
      </c>
      <c r="J5" s="16"/>
      <c r="K5" s="7">
        <f>Processed_CN_SZ[[#This Row],[Value]]/B4 * 100</f>
        <v>100.2624386888925</v>
      </c>
      <c r="M5" cm="1">
        <f t="array" ref="M5">ROUND( Processed_CN_SZ[[#This Row],[Value]] / AVERAGE( _xlfn._xlws.FILTER(Processed_CN_SZ[Value], YEAR(Processed_CN_SZ[Date])=2020) ), 3) * 100</f>
        <v>99.2</v>
      </c>
      <c r="N5" s="16" cm="1">
        <f t="array" ref="N5" xml:space="preserve"> Processed_CN_SZ[[#This Row],[Value]] / _xlfn.XLOOKUP(MIN(_xlfn._xlws.FILTER(Processed_CN_SZ[Date], YEAR(Processed_CN_SZ[Date])=YEAR(Processed_CN_SZ[[#This Row],[Date]]))), Processed_CN_SZ[Date], Processed_CN_SZ[Value]) - 1</f>
        <v>8.777360964417058E-3</v>
      </c>
    </row>
    <row r="6" spans="1:14">
      <c r="A6" s="8">
        <f>rawData_HousePriceIndex_SZ!A6</f>
        <v>43952</v>
      </c>
      <c r="B6" s="22">
        <f>rawData_HousePriceIndex_SZ!B6</f>
        <v>55545</v>
      </c>
      <c r="C6" t="s">
        <v>24</v>
      </c>
      <c r="D6" t="s">
        <v>22</v>
      </c>
      <c r="E6" s="8">
        <v>45383</v>
      </c>
      <c r="F6">
        <v>4</v>
      </c>
      <c r="G6">
        <v>63948</v>
      </c>
      <c r="I6" s="16">
        <f t="shared" si="0"/>
        <v>2.6897248898837462E-3</v>
      </c>
      <c r="J6" s="16"/>
      <c r="K6" s="7">
        <f>Processed_CN_SZ[[#This Row],[Value]]/B5 * 100</f>
        <v>100.26897248898838</v>
      </c>
      <c r="M6" cm="1">
        <f t="array" ref="M6">ROUND( Processed_CN_SZ[[#This Row],[Value]] / AVERAGE( _xlfn._xlws.FILTER(Processed_CN_SZ[Value], YEAR(Processed_CN_SZ[Date])=2020) ), 3) * 100</f>
        <v>99.5</v>
      </c>
      <c r="N6" s="16" cm="1">
        <f t="array" ref="N6" xml:space="preserve"> Processed_CN_SZ[[#This Row],[Value]] / _xlfn.XLOOKUP(MIN(_xlfn._xlws.FILTER(Processed_CN_SZ[Date], YEAR(Processed_CN_SZ[Date])=YEAR(Processed_CN_SZ[[#This Row],[Date]]))), Processed_CN_SZ[Date], Processed_CN_SZ[Value]) - 1</f>
        <v>1.1490694540554403E-2</v>
      </c>
    </row>
    <row r="7" spans="1:14">
      <c r="A7" s="8">
        <f>rawData_HousePriceIndex_SZ!A7</f>
        <v>43983</v>
      </c>
      <c r="B7" s="22">
        <f>rawData_HousePriceIndex_SZ!B7</f>
        <v>55733</v>
      </c>
      <c r="C7" t="s">
        <v>24</v>
      </c>
      <c r="D7" t="s">
        <v>22</v>
      </c>
      <c r="E7" s="8">
        <v>45413</v>
      </c>
      <c r="F7">
        <v>5</v>
      </c>
      <c r="G7">
        <v>63001</v>
      </c>
      <c r="I7" s="16">
        <f t="shared" si="0"/>
        <v>3.3846430821856152E-3</v>
      </c>
      <c r="J7" s="16"/>
      <c r="K7" s="7">
        <f>Processed_CN_SZ[[#This Row],[Value]]/B6 * 100</f>
        <v>100.33846430821856</v>
      </c>
      <c r="M7" cm="1">
        <f t="array" ref="M7">ROUND( Processed_CN_SZ[[#This Row],[Value]] / AVERAGE( _xlfn._xlws.FILTER(Processed_CN_SZ[Value], YEAR(Processed_CN_SZ[Date])=2020) ), 3) * 100</f>
        <v>99.8</v>
      </c>
      <c r="N7" s="16" cm="1">
        <f t="array" ref="N7" xml:space="preserve"> Processed_CN_SZ[[#This Row],[Value]] / _xlfn.XLOOKUP(MIN(_xlfn._xlws.FILTER(Processed_CN_SZ[Date], YEAR(Processed_CN_SZ[Date])=YEAR(Processed_CN_SZ[[#This Row],[Date]]))), Processed_CN_SZ[Date], Processed_CN_SZ[Value]) - 1</f>
        <v>1.491422952252619E-2</v>
      </c>
    </row>
    <row r="8" spans="1:14">
      <c r="A8" s="8">
        <f>rawData_HousePriceIndex_SZ!A8</f>
        <v>44013</v>
      </c>
      <c r="B8" s="22">
        <f>rawData_HousePriceIndex_SZ!B8</f>
        <v>56033</v>
      </c>
      <c r="C8" t="s">
        <v>24</v>
      </c>
      <c r="D8" t="s">
        <v>22</v>
      </c>
      <c r="E8" s="8">
        <v>45444</v>
      </c>
      <c r="F8">
        <v>6</v>
      </c>
      <c r="G8">
        <v>62221</v>
      </c>
      <c r="I8" s="16">
        <f t="shared" si="0"/>
        <v>5.3828073134408695E-3</v>
      </c>
      <c r="J8" s="16"/>
      <c r="K8" s="7">
        <f>Processed_CN_SZ[[#This Row],[Value]]/B7 * 100</f>
        <v>100.53828073134407</v>
      </c>
      <c r="M8" cm="1">
        <f t="array" ref="M8">ROUND( Processed_CN_SZ[[#This Row],[Value]] / AVERAGE( _xlfn._xlws.FILTER(Processed_CN_SZ[Value], YEAR(Processed_CN_SZ[Date])=2020) ), 3) * 100</f>
        <v>100.29999999999998</v>
      </c>
      <c r="N8" s="16" cm="1">
        <f t="array" ref="N8" xml:space="preserve"> Processed_CN_SZ[[#This Row],[Value]] / _xlfn.XLOOKUP(MIN(_xlfn._xlws.FILTER(Processed_CN_SZ[Date], YEAR(Processed_CN_SZ[Date])=YEAR(Processed_CN_SZ[[#This Row],[Date]]))), Processed_CN_SZ[Date], Processed_CN_SZ[Value]) - 1</f>
        <v>2.0377317259715255E-2</v>
      </c>
    </row>
    <row r="9" spans="1:14">
      <c r="A9" s="8">
        <f>rawData_HousePriceIndex_SZ!A9</f>
        <v>44044</v>
      </c>
      <c r="B9" s="22">
        <f>rawData_HousePriceIndex_SZ!B9</f>
        <v>56142</v>
      </c>
      <c r="C9" t="s">
        <v>24</v>
      </c>
      <c r="D9" t="s">
        <v>22</v>
      </c>
      <c r="E9" s="8">
        <v>45474</v>
      </c>
      <c r="F9">
        <v>7</v>
      </c>
      <c r="G9">
        <v>62093</v>
      </c>
      <c r="I9" s="16">
        <f t="shared" si="0"/>
        <v>1.9452822443916979E-3</v>
      </c>
      <c r="J9" s="16"/>
      <c r="K9" s="7">
        <f>Processed_CN_SZ[[#This Row],[Value]]/B8 * 100</f>
        <v>100.19452822443917</v>
      </c>
      <c r="M9" cm="1">
        <f t="array" ref="M9">ROUND( Processed_CN_SZ[[#This Row],[Value]] / AVERAGE( _xlfn._xlws.FILTER(Processed_CN_SZ[Value], YEAR(Processed_CN_SZ[Date])=2020) ), 3) * 100</f>
        <v>100.49999999999999</v>
      </c>
      <c r="N9" s="16" cm="1">
        <f t="array" ref="N9" xml:space="preserve"> Processed_CN_SZ[[#This Row],[Value]] / _xlfn.XLOOKUP(MIN(_xlfn._xlws.FILTER(Processed_CN_SZ[Date], YEAR(Processed_CN_SZ[Date])=YEAR(Processed_CN_SZ[[#This Row],[Date]]))), Processed_CN_SZ[Date], Processed_CN_SZ[Value]) - 1</f>
        <v>2.2362239137560636E-2</v>
      </c>
    </row>
    <row r="10" spans="1:14">
      <c r="A10" s="8">
        <f>rawData_HousePriceIndex_SZ!A10</f>
        <v>44075</v>
      </c>
      <c r="B10" s="22">
        <f>rawData_HousePriceIndex_SZ!B10</f>
        <v>56286</v>
      </c>
      <c r="C10" t="s">
        <v>24</v>
      </c>
      <c r="D10" t="s">
        <v>22</v>
      </c>
      <c r="E10" s="8">
        <v>45505</v>
      </c>
      <c r="F10">
        <v>8</v>
      </c>
      <c r="G10">
        <v>61715</v>
      </c>
      <c r="I10" s="16">
        <f t="shared" si="0"/>
        <v>2.5649246553382495E-3</v>
      </c>
      <c r="J10" s="16"/>
      <c r="K10" s="7">
        <f>Processed_CN_SZ[[#This Row],[Value]]/B9 * 100</f>
        <v>100.25649246553382</v>
      </c>
      <c r="M10" cm="1">
        <f t="array" ref="M10">ROUND( Processed_CN_SZ[[#This Row],[Value]] / AVERAGE( _xlfn._xlws.FILTER(Processed_CN_SZ[Value], YEAR(Processed_CN_SZ[Date])=2020) ), 3) * 100</f>
        <v>100.8</v>
      </c>
      <c r="N10" s="16" cm="1">
        <f t="array" ref="N10" xml:space="preserve"> Processed_CN_SZ[[#This Row],[Value]] / _xlfn.XLOOKUP(MIN(_xlfn._xlws.FILTER(Processed_CN_SZ[Date], YEAR(Processed_CN_SZ[Date])=YEAR(Processed_CN_SZ[[#This Row],[Date]]))), Processed_CN_SZ[Date], Processed_CN_SZ[Value]) - 1</f>
        <v>2.4984521251411262E-2</v>
      </c>
    </row>
    <row r="11" spans="1:14">
      <c r="A11" s="8">
        <f>rawData_HousePriceIndex_SZ!A11</f>
        <v>44105</v>
      </c>
      <c r="B11" s="22">
        <f>rawData_HousePriceIndex_SZ!B11</f>
        <v>56443</v>
      </c>
      <c r="C11" t="s">
        <v>24</v>
      </c>
      <c r="D11" t="s">
        <v>22</v>
      </c>
      <c r="E11" s="8">
        <v>45536</v>
      </c>
      <c r="F11">
        <v>9</v>
      </c>
      <c r="G11">
        <v>61323</v>
      </c>
      <c r="I11" s="16">
        <f t="shared" si="0"/>
        <v>2.789325942507906E-3</v>
      </c>
      <c r="J11" s="16"/>
      <c r="K11" s="7">
        <f>Processed_CN_SZ[[#This Row],[Value]]/B10 * 100</f>
        <v>100.27893259425078</v>
      </c>
      <c r="M11" cm="1">
        <f t="array" ref="M11">ROUND( Processed_CN_SZ[[#This Row],[Value]] / AVERAGE( _xlfn._xlws.FILTER(Processed_CN_SZ[Value], YEAR(Processed_CN_SZ[Date])=2020) ), 3) * 100</f>
        <v>101.1</v>
      </c>
      <c r="N11" s="16" cm="1">
        <f t="array" ref="N11" xml:space="preserve"> Processed_CN_SZ[[#This Row],[Value]] / _xlfn.XLOOKUP(MIN(_xlfn._xlws.FILTER(Processed_CN_SZ[Date], YEAR(Processed_CN_SZ[Date])=YEAR(Processed_CN_SZ[[#This Row],[Date]]))), Processed_CN_SZ[Date], Processed_CN_SZ[Value]) - 1</f>
        <v>2.7843537167207E-2</v>
      </c>
    </row>
    <row r="12" spans="1:14">
      <c r="A12" s="8">
        <f>rawData_HousePriceIndex_SZ!A12</f>
        <v>44136</v>
      </c>
      <c r="B12" s="22">
        <f>rawData_HousePriceIndex_SZ!B12</f>
        <v>56600</v>
      </c>
      <c r="C12" t="s">
        <v>24</v>
      </c>
      <c r="D12" t="s">
        <v>22</v>
      </c>
      <c r="E12" s="8">
        <v>45566</v>
      </c>
      <c r="F12">
        <v>10</v>
      </c>
      <c r="G12">
        <v>59852</v>
      </c>
      <c r="I12" s="16">
        <f t="shared" si="0"/>
        <v>2.7815672448310686E-3</v>
      </c>
      <c r="J12" s="16"/>
      <c r="K12" s="7">
        <f>Processed_CN_SZ[[#This Row],[Value]]/B11 * 100</f>
        <v>100.2781567244831</v>
      </c>
      <c r="M12" cm="1">
        <f t="array" ref="M12">ROUND( Processed_CN_SZ[[#This Row],[Value]] / AVERAGE( _xlfn._xlws.FILTER(Processed_CN_SZ[Value], YEAR(Processed_CN_SZ[Date])=2020) ), 3) * 100</f>
        <v>101.29999999999998</v>
      </c>
      <c r="N12" s="16" cm="1">
        <f t="array" ref="N12" xml:space="preserve"> Processed_CN_SZ[[#This Row],[Value]] / _xlfn.XLOOKUP(MIN(_xlfn._xlws.FILTER(Processed_CN_SZ[Date], YEAR(Processed_CN_SZ[Date])=YEAR(Processed_CN_SZ[[#This Row],[Date]]))), Processed_CN_SZ[Date], Processed_CN_SZ[Value]) - 1</f>
        <v>3.0702553083002515E-2</v>
      </c>
    </row>
    <row r="13" spans="1:14">
      <c r="A13" s="8">
        <f>rawData_HousePriceIndex_SZ!A13</f>
        <v>44166</v>
      </c>
      <c r="B13" s="22">
        <f>rawData_HousePriceIndex_SZ!B13</f>
        <v>56795</v>
      </c>
      <c r="C13" t="s">
        <v>24</v>
      </c>
      <c r="D13" t="s">
        <v>22</v>
      </c>
      <c r="E13" s="8">
        <v>45597</v>
      </c>
      <c r="F13">
        <v>11</v>
      </c>
      <c r="G13">
        <v>59148</v>
      </c>
      <c r="I13" s="16">
        <f t="shared" si="0"/>
        <v>3.4452296819787987E-3</v>
      </c>
      <c r="J13" s="16"/>
      <c r="K13" s="7">
        <f>Processed_CN_SZ[[#This Row],[Value]]/B12 * 100</f>
        <v>100.34452296819786</v>
      </c>
      <c r="M13" cm="1">
        <f t="array" ref="M13">ROUND( Processed_CN_SZ[[#This Row],[Value]] / AVERAGE( _xlfn._xlws.FILTER(Processed_CN_SZ[Value], YEAR(Processed_CN_SZ[Date])=2020) ), 3) * 100</f>
        <v>101.69999999999999</v>
      </c>
      <c r="N13" s="16" cm="1">
        <f t="array" ref="N13" xml:space="preserve"> Processed_CN_SZ[[#This Row],[Value]] / _xlfn.XLOOKUP(MIN(_xlfn._xlws.FILTER(Processed_CN_SZ[Date], YEAR(Processed_CN_SZ[Date])=YEAR(Processed_CN_SZ[[#This Row],[Date]]))), Processed_CN_SZ[Date], Processed_CN_SZ[Value]) - 1</f>
        <v>3.4253560112175396E-2</v>
      </c>
    </row>
    <row r="14" spans="1:14">
      <c r="A14" s="8">
        <f>rawData_HousePriceIndex_SZ!A14</f>
        <v>44197</v>
      </c>
      <c r="B14" s="22">
        <f>rawData_HousePriceIndex_SZ!B14</f>
        <v>56967</v>
      </c>
      <c r="C14" t="s">
        <v>24</v>
      </c>
      <c r="D14" t="s">
        <v>22</v>
      </c>
      <c r="E14" s="8">
        <v>45627</v>
      </c>
      <c r="F14">
        <v>12</v>
      </c>
      <c r="G14">
        <v>58256</v>
      </c>
      <c r="H14">
        <v>54914</v>
      </c>
      <c r="I14" s="16">
        <f t="shared" si="0"/>
        <v>3.028435601725504E-3</v>
      </c>
      <c r="J14" s="16">
        <f>(Processed_CN_SZ[[#This Row],[Value]]-B2)/B2</f>
        <v>3.7385730414830461E-2</v>
      </c>
      <c r="K14" s="7">
        <f>Processed_CN_SZ[[#This Row],[Value]]/B13 * 100</f>
        <v>100.30284356017256</v>
      </c>
      <c r="L14" s="7">
        <f>Processed_CN_SZ[[#This Row],[Value]]/B2 * 100</f>
        <v>103.73857304148304</v>
      </c>
      <c r="M14" cm="1">
        <f t="array" ref="M14">ROUND( Processed_CN_SZ[[#This Row],[Value]] / AVERAGE( _xlfn._xlws.FILTER(Processed_CN_SZ[Value], YEAR(Processed_CN_SZ[Date])=2020) ), 3) * 100</f>
        <v>102</v>
      </c>
      <c r="N14" s="16" cm="1">
        <f t="array" ref="N14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15" spans="1:14">
      <c r="A15" s="8">
        <f>rawData_HousePriceIndex_SZ!A15</f>
        <v>44228</v>
      </c>
      <c r="B15" s="22">
        <f>rawData_HousePriceIndex_SZ!B15</f>
        <v>57191</v>
      </c>
      <c r="C15" t="s">
        <v>24</v>
      </c>
      <c r="D15" t="s">
        <v>22</v>
      </c>
      <c r="E15" s="8">
        <v>45658</v>
      </c>
      <c r="F15">
        <v>13</v>
      </c>
      <c r="G15">
        <v>58499</v>
      </c>
      <c r="H15">
        <v>63948</v>
      </c>
      <c r="I15" s="16">
        <f t="shared" si="0"/>
        <v>3.9321010409535343E-3</v>
      </c>
      <c r="J15" s="16">
        <f>(Processed_CN_SZ[[#This Row],[Value]]-B3)/B3</f>
        <v>3.8175283183270403E-2</v>
      </c>
      <c r="K15" s="7">
        <f>Processed_CN_SZ[[#This Row],[Value]]/B14 * 100</f>
        <v>100.39321010409535</v>
      </c>
      <c r="L15" s="7">
        <f>Processed_CN_SZ[[#This Row],[Value]]/B3 * 100</f>
        <v>103.81752831832705</v>
      </c>
      <c r="M15" cm="1">
        <f t="array" ref="M15">ROUND( Processed_CN_SZ[[#This Row],[Value]] / AVERAGE( _xlfn._xlws.FILTER(Processed_CN_SZ[Value], YEAR(Processed_CN_SZ[Date])=2020) ), 3) * 100</f>
        <v>102.4</v>
      </c>
      <c r="N15" s="16" cm="1">
        <f t="array" ref="N15" xml:space="preserve"> Processed_CN_SZ[[#This Row],[Value]] / _xlfn.XLOOKUP(MIN(_xlfn._xlws.FILTER(Processed_CN_SZ[Date], YEAR(Processed_CN_SZ[Date])=YEAR(Processed_CN_SZ[[#This Row],[Date]]))), Processed_CN_SZ[Date], Processed_CN_SZ[Value]) - 1</f>
        <v>3.9321010409534285E-3</v>
      </c>
    </row>
    <row r="16" spans="1:14">
      <c r="A16" s="8">
        <f>rawData_HousePriceIndex_SZ!A16</f>
        <v>44256</v>
      </c>
      <c r="B16" s="22">
        <f>rawData_HousePriceIndex_SZ!B16</f>
        <v>57293</v>
      </c>
      <c r="C16" t="s">
        <v>24</v>
      </c>
      <c r="D16" t="s">
        <v>22</v>
      </c>
      <c r="E16" s="8">
        <v>45689</v>
      </c>
      <c r="F16">
        <v>14</v>
      </c>
      <c r="G16">
        <v>58518</v>
      </c>
      <c r="H16">
        <v>65093</v>
      </c>
      <c r="I16" s="16">
        <f t="shared" si="0"/>
        <v>1.7834974034376038E-3</v>
      </c>
      <c r="J16" s="16">
        <f>(Processed_CN_SZ[[#This Row],[Value]]-B4)/B4</f>
        <v>3.6958607084034679E-2</v>
      </c>
      <c r="K16" s="7">
        <f>Processed_CN_SZ[[#This Row],[Value]]/B15 * 100</f>
        <v>100.17834974034376</v>
      </c>
      <c r="L16" s="7">
        <f>Processed_CN_SZ[[#This Row],[Value]]/B4 * 100</f>
        <v>103.69586070840346</v>
      </c>
      <c r="M16" cm="1">
        <f t="array" ref="M16">ROUND( Processed_CN_SZ[[#This Row],[Value]] / AVERAGE( _xlfn._xlws.FILTER(Processed_CN_SZ[Value], YEAR(Processed_CN_SZ[Date])=2020) ), 3) * 100</f>
        <v>102.60000000000001</v>
      </c>
      <c r="N16" s="16" cm="1">
        <f t="array" ref="N16" xml:space="preserve"> Processed_CN_SZ[[#This Row],[Value]] / _xlfn.XLOOKUP(MIN(_xlfn._xlws.FILTER(Processed_CN_SZ[Date], YEAR(Processed_CN_SZ[Date])=YEAR(Processed_CN_SZ[[#This Row],[Date]]))), Processed_CN_SZ[Date], Processed_CN_SZ[Value]) - 1</f>
        <v>5.7226113363877396E-3</v>
      </c>
    </row>
    <row r="17" spans="1:14">
      <c r="A17" s="8">
        <f>rawData_HousePriceIndex_SZ!A17</f>
        <v>44287</v>
      </c>
      <c r="B17" s="22">
        <f>rawData_HousePriceIndex_SZ!B17</f>
        <v>57062</v>
      </c>
      <c r="C17" t="s">
        <v>24</v>
      </c>
      <c r="D17" t="s">
        <v>22</v>
      </c>
      <c r="E17" s="8">
        <v>45717</v>
      </c>
      <c r="F17">
        <v>15</v>
      </c>
      <c r="G17">
        <v>59245</v>
      </c>
      <c r="H17">
        <v>63948</v>
      </c>
      <c r="I17" s="16">
        <f t="shared" si="0"/>
        <v>-4.0319061665473966E-3</v>
      </c>
      <c r="J17" s="16">
        <f>(Processed_CN_SZ[[#This Row],[Value]]-B5)/B5</f>
        <v>3.0074373600982019E-2</v>
      </c>
      <c r="K17" s="7">
        <f>Processed_CN_SZ[[#This Row],[Value]]/B16 * 100</f>
        <v>99.59680938334526</v>
      </c>
      <c r="L17" s="7">
        <f>Processed_CN_SZ[[#This Row],[Value]]/B5 * 100</f>
        <v>103.00743736009821</v>
      </c>
      <c r="M17" cm="1">
        <f t="array" ref="M17">ROUND( Processed_CN_SZ[[#This Row],[Value]] / AVERAGE( _xlfn._xlws.FILTER(Processed_CN_SZ[Value], YEAR(Processed_CN_SZ[Date])=2020) ), 3) * 100</f>
        <v>102.2</v>
      </c>
      <c r="N17" s="16" cm="1">
        <f t="array" ref="N17" xml:space="preserve"> Processed_CN_SZ[[#This Row],[Value]] / _xlfn.XLOOKUP(MIN(_xlfn._xlws.FILTER(Processed_CN_SZ[Date], YEAR(Processed_CN_SZ[Date])=YEAR(Processed_CN_SZ[[#This Row],[Date]]))), Processed_CN_SZ[Date], Processed_CN_SZ[Value]) - 1</f>
        <v>1.6676321379043291E-3</v>
      </c>
    </row>
    <row r="18" spans="1:14">
      <c r="A18" s="8">
        <f>rawData_HousePriceIndex_SZ!A18</f>
        <v>44317</v>
      </c>
      <c r="B18" s="22">
        <f>rawData_HousePriceIndex_SZ!B18</f>
        <v>56928</v>
      </c>
      <c r="C18" t="s">
        <v>24</v>
      </c>
      <c r="D18" t="s">
        <v>22</v>
      </c>
      <c r="E18" s="8">
        <v>45748</v>
      </c>
      <c r="F18">
        <v>16</v>
      </c>
      <c r="G18">
        <v>58586</v>
      </c>
      <c r="H18">
        <v>63001</v>
      </c>
      <c r="I18" s="16">
        <f t="shared" si="0"/>
        <v>-2.3483228768707721E-3</v>
      </c>
      <c r="J18" s="16">
        <f>(Processed_CN_SZ[[#This Row],[Value]]-B6)/B6</f>
        <v>2.4898730758844179E-2</v>
      </c>
      <c r="K18" s="7">
        <f>Processed_CN_SZ[[#This Row],[Value]]/B17 * 100</f>
        <v>99.765167712312916</v>
      </c>
      <c r="L18" s="7">
        <f>Processed_CN_SZ[[#This Row],[Value]]/B6 * 100</f>
        <v>102.48987307588442</v>
      </c>
      <c r="M18" cm="1">
        <f t="array" ref="M18">ROUND( Processed_CN_SZ[[#This Row],[Value]] / AVERAGE( _xlfn._xlws.FILTER(Processed_CN_SZ[Value], YEAR(Processed_CN_SZ[Date])=2020) ), 3) * 100</f>
        <v>101.89999999999999</v>
      </c>
      <c r="N18" s="16" cm="1">
        <f t="array" ref="N18" xml:space="preserve"> Processed_CN_SZ[[#This Row],[Value]] / _xlfn.XLOOKUP(MIN(_xlfn._xlws.FILTER(Processed_CN_SZ[Date], YEAR(Processed_CN_SZ[Date])=YEAR(Processed_CN_SZ[[#This Row],[Date]]))), Processed_CN_SZ[Date], Processed_CN_SZ[Value]) - 1</f>
        <v>-6.8460687766602746E-4</v>
      </c>
    </row>
    <row r="19" spans="1:14">
      <c r="A19" s="8">
        <f>rawData_HousePriceIndex_SZ!A19</f>
        <v>44348</v>
      </c>
      <c r="B19" s="22">
        <f>rawData_HousePriceIndex_SZ!B19</f>
        <v>56919</v>
      </c>
      <c r="C19" t="s">
        <v>24</v>
      </c>
      <c r="D19" t="s">
        <v>22</v>
      </c>
      <c r="E19" s="8">
        <v>45778</v>
      </c>
      <c r="F19">
        <v>17</v>
      </c>
      <c r="G19">
        <v>57856</v>
      </c>
      <c r="H19">
        <v>62221</v>
      </c>
      <c r="I19" s="16">
        <f t="shared" si="0"/>
        <v>-1.5809443507588532E-4</v>
      </c>
      <c r="J19" s="16">
        <f>(Processed_CN_SZ[[#This Row],[Value]]-B7)/B7</f>
        <v>2.128003157913624E-2</v>
      </c>
      <c r="K19" s="7">
        <f>Processed_CN_SZ[[#This Row],[Value]]/B18 * 100</f>
        <v>99.984190556492408</v>
      </c>
      <c r="L19" s="7">
        <f>Processed_CN_SZ[[#This Row],[Value]]/B7 * 100</f>
        <v>102.12800315791361</v>
      </c>
      <c r="M19" cm="1">
        <f t="array" ref="M19">ROUND( Processed_CN_SZ[[#This Row],[Value]] / AVERAGE( _xlfn._xlws.FILTER(Processed_CN_SZ[Value], YEAR(Processed_CN_SZ[Date])=2020) ), 3) * 100</f>
        <v>101.89999999999999</v>
      </c>
      <c r="N19" s="16" cm="1">
        <f t="array" ref="N19" xml:space="preserve"> Processed_CN_SZ[[#This Row],[Value]] / _xlfn.XLOOKUP(MIN(_xlfn._xlws.FILTER(Processed_CN_SZ[Date], YEAR(Processed_CN_SZ[Date])=YEAR(Processed_CN_SZ[[#This Row],[Date]]))), Processed_CN_SZ[Date], Processed_CN_SZ[Value]) - 1</f>
        <v>-8.4259308020429025E-4</v>
      </c>
    </row>
    <row r="20" spans="1:14">
      <c r="A20" s="8">
        <f>rawData_HousePriceIndex_SZ!A20</f>
        <v>44378</v>
      </c>
      <c r="B20" s="22">
        <f>rawData_HousePriceIndex_SZ!B20</f>
        <v>57484</v>
      </c>
      <c r="C20" t="s">
        <v>24</v>
      </c>
      <c r="D20" t="s">
        <v>22</v>
      </c>
      <c r="E20" s="8">
        <v>45809</v>
      </c>
      <c r="F20">
        <v>18</v>
      </c>
      <c r="G20">
        <v>57823</v>
      </c>
      <c r="H20">
        <v>62093</v>
      </c>
      <c r="I20" s="16">
        <f t="shared" si="0"/>
        <v>9.9263866195822125E-3</v>
      </c>
      <c r="J20" s="16">
        <f>(Processed_CN_SZ[[#This Row],[Value]]-B8)/B8</f>
        <v>2.5895454464333518E-2</v>
      </c>
      <c r="K20" s="7">
        <f>Processed_CN_SZ[[#This Row],[Value]]/B19 * 100</f>
        <v>100.99263866195822</v>
      </c>
      <c r="L20" s="7">
        <f>Processed_CN_SZ[[#This Row],[Value]]/B8 * 100</f>
        <v>102.58954544643335</v>
      </c>
      <c r="M20" cm="1">
        <f t="array" ref="M20">ROUND( Processed_CN_SZ[[#This Row],[Value]] / AVERAGE( _xlfn._xlws.FILTER(Processed_CN_SZ[Value], YEAR(Processed_CN_SZ[Date])=2020) ), 3) * 100</f>
        <v>102.89999999999999</v>
      </c>
      <c r="N20" s="16" cm="1">
        <f t="array" ref="N20" xml:space="preserve"> Processed_CN_SZ[[#This Row],[Value]] / _xlfn.XLOOKUP(MIN(_xlfn._xlws.FILTER(Processed_CN_SZ[Date], YEAR(Processed_CN_SZ[Date])=YEAR(Processed_CN_SZ[[#This Row],[Date]]))), Processed_CN_SZ[Date], Processed_CN_SZ[Value]) - 1</f>
        <v>9.0754296347008712E-3</v>
      </c>
    </row>
    <row r="21" spans="1:14">
      <c r="A21" s="8">
        <f>rawData_HousePriceIndex_SZ!A21</f>
        <v>44409</v>
      </c>
      <c r="B21" s="22">
        <f>rawData_HousePriceIndex_SZ!B21</f>
        <v>57218</v>
      </c>
      <c r="C21" t="s">
        <v>24</v>
      </c>
      <c r="D21" t="s">
        <v>22</v>
      </c>
      <c r="E21" s="8">
        <v>45839</v>
      </c>
      <c r="F21">
        <v>19</v>
      </c>
      <c r="G21">
        <v>56960</v>
      </c>
      <c r="H21">
        <v>61715</v>
      </c>
      <c r="I21" s="16">
        <f t="shared" si="0"/>
        <v>-4.6273745737944469E-3</v>
      </c>
      <c r="J21" s="16">
        <f>(Processed_CN_SZ[[#This Row],[Value]]-B9)/B9</f>
        <v>1.9165687007944143E-2</v>
      </c>
      <c r="K21" s="7">
        <f>Processed_CN_SZ[[#This Row],[Value]]/B20 * 100</f>
        <v>99.537262542620553</v>
      </c>
      <c r="L21" s="7">
        <f>Processed_CN_SZ[[#This Row],[Value]]/B9 * 100</f>
        <v>101.91656870079441</v>
      </c>
      <c r="M21" cm="1">
        <f t="array" ref="M21">ROUND( Processed_CN_SZ[[#This Row],[Value]] / AVERAGE( _xlfn._xlws.FILTER(Processed_CN_SZ[Value], YEAR(Processed_CN_SZ[Date])=2020) ), 3) * 100</f>
        <v>102.4</v>
      </c>
      <c r="N21" s="16" cm="1">
        <f t="array" ref="N21" xml:space="preserve"> Processed_CN_SZ[[#This Row],[Value]] / _xlfn.XLOOKUP(MIN(_xlfn._xlws.FILTER(Processed_CN_SZ[Date], YEAR(Processed_CN_SZ[Date])=YEAR(Processed_CN_SZ[[#This Row],[Date]]))), Processed_CN_SZ[Date], Processed_CN_SZ[Value]) - 1</f>
        <v>4.4060596485684389E-3</v>
      </c>
    </row>
    <row r="22" spans="1:14">
      <c r="A22" s="8">
        <f>rawData_HousePriceIndex_SZ!A22</f>
        <v>44440</v>
      </c>
      <c r="B22" s="22">
        <f>rawData_HousePriceIndex_SZ!B22</f>
        <v>57086</v>
      </c>
      <c r="C22" t="s">
        <v>24</v>
      </c>
      <c r="D22" t="s">
        <v>22</v>
      </c>
      <c r="E22" s="8">
        <v>45870</v>
      </c>
      <c r="F22">
        <v>20</v>
      </c>
      <c r="G22">
        <v>55836</v>
      </c>
      <c r="H22">
        <v>61323</v>
      </c>
      <c r="I22" s="16">
        <f t="shared" si="0"/>
        <v>-2.306966339263868E-3</v>
      </c>
      <c r="J22" s="16">
        <f>(Processed_CN_SZ[[#This Row],[Value]]-B10)/B10</f>
        <v>1.4213125821696336E-2</v>
      </c>
      <c r="K22" s="7">
        <f>Processed_CN_SZ[[#This Row],[Value]]/B21 * 100</f>
        <v>99.769303366073615</v>
      </c>
      <c r="L22" s="7">
        <f>Processed_CN_SZ[[#This Row],[Value]]/B10 * 100</f>
        <v>101.42131258216965</v>
      </c>
      <c r="M22" cm="1">
        <f t="array" ref="M22">ROUND( Processed_CN_SZ[[#This Row],[Value]] / AVERAGE( _xlfn._xlws.FILTER(Processed_CN_SZ[Value], YEAR(Processed_CN_SZ[Date])=2020) ), 3) * 100</f>
        <v>102.2</v>
      </c>
      <c r="N22" s="16" cm="1">
        <f t="array" ref="N22" xml:space="preserve"> Processed_CN_SZ[[#This Row],[Value]] / _xlfn.XLOOKUP(MIN(_xlfn._xlws.FILTER(Processed_CN_SZ[Date], YEAR(Processed_CN_SZ[Date])=YEAR(Processed_CN_SZ[[#This Row],[Date]]))), Processed_CN_SZ[Date], Processed_CN_SZ[Value]) - 1</f>
        <v>2.0889286780065852E-3</v>
      </c>
    </row>
    <row r="23" spans="1:14">
      <c r="A23" s="8">
        <f>rawData_HousePriceIndex_SZ!A23</f>
        <v>44470</v>
      </c>
      <c r="B23" s="22">
        <f>rawData_HousePriceIndex_SZ!B23</f>
        <v>56539</v>
      </c>
      <c r="C23" t="s">
        <v>24</v>
      </c>
      <c r="D23" t="s">
        <v>22</v>
      </c>
      <c r="E23" s="8">
        <v>45901</v>
      </c>
      <c r="F23">
        <v>21</v>
      </c>
      <c r="G23">
        <v>55407</v>
      </c>
      <c r="H23">
        <v>59852</v>
      </c>
      <c r="I23" s="16">
        <f t="shared" si="0"/>
        <v>-9.5820341239533334E-3</v>
      </c>
      <c r="J23" s="16">
        <f>(Processed_CN_SZ[[#This Row],[Value]]-B11)/B11</f>
        <v>1.7008309267756852E-3</v>
      </c>
      <c r="K23" s="7">
        <f>Processed_CN_SZ[[#This Row],[Value]]/B22 * 100</f>
        <v>99.041796587604665</v>
      </c>
      <c r="L23" s="7">
        <f>Processed_CN_SZ[[#This Row],[Value]]/B11 * 100</f>
        <v>100.17008309267756</v>
      </c>
      <c r="M23" cm="1">
        <f t="array" ref="M23">ROUND( Processed_CN_SZ[[#This Row],[Value]] / AVERAGE( _xlfn._xlws.FILTER(Processed_CN_SZ[Value], YEAR(Processed_CN_SZ[Date])=2020) ), 3) * 100</f>
        <v>101.2</v>
      </c>
      <c r="N23" s="16" cm="1">
        <f t="array" ref="N23" xml:space="preserve"> Processed_CN_SZ[[#This Row],[Value]] / _xlfn.XLOOKUP(MIN(_xlfn._xlws.FILTER(Processed_CN_SZ[Date], YEAR(Processed_CN_SZ[Date])=YEAR(Processed_CN_SZ[[#This Row],[Date]]))), Processed_CN_SZ[Date], Processed_CN_SZ[Value]) - 1</f>
        <v>-7.5131216318219396E-3</v>
      </c>
    </row>
    <row r="24" spans="1:14">
      <c r="A24" s="8">
        <f>rawData_HousePriceIndex_SZ!A24</f>
        <v>44501</v>
      </c>
      <c r="B24" s="22">
        <f>rawData_HousePriceIndex_SZ!B24</f>
        <v>56913</v>
      </c>
      <c r="C24" t="s">
        <v>24</v>
      </c>
      <c r="D24" t="s">
        <v>22</v>
      </c>
      <c r="E24" s="8">
        <v>45931</v>
      </c>
      <c r="F24">
        <v>22</v>
      </c>
      <c r="G24">
        <v>54812</v>
      </c>
      <c r="H24">
        <v>59148</v>
      </c>
      <c r="I24" s="16">
        <f t="shared" si="0"/>
        <v>6.614902987318488E-3</v>
      </c>
      <c r="J24" s="16">
        <f>(Processed_CN_SZ[[#This Row],[Value]]-B12)/B12</f>
        <v>5.530035335689046E-3</v>
      </c>
      <c r="K24" s="7">
        <f>Processed_CN_SZ[[#This Row],[Value]]/B23 * 100</f>
        <v>100.66149029873186</v>
      </c>
      <c r="L24" s="7">
        <f>Processed_CN_SZ[[#This Row],[Value]]/B12 * 100</f>
        <v>100.55300353356891</v>
      </c>
      <c r="M24" cm="1">
        <f t="array" ref="M24">ROUND( Processed_CN_SZ[[#This Row],[Value]] / AVERAGE( _xlfn._xlws.FILTER(Processed_CN_SZ[Value], YEAR(Processed_CN_SZ[Date])=2020) ), 3) * 100</f>
        <v>101.89999999999999</v>
      </c>
      <c r="N24" s="16" cm="1">
        <f t="array" ref="N24" xml:space="preserve"> Processed_CN_SZ[[#This Row],[Value]] / _xlfn.XLOOKUP(MIN(_xlfn._xlws.FILTER(Processed_CN_SZ[Date], YEAR(Processed_CN_SZ[Date])=YEAR(Processed_CN_SZ[[#This Row],[Date]]))), Processed_CN_SZ[Date], Processed_CN_SZ[Value]) - 1</f>
        <v>-9.4791721522990979E-4</v>
      </c>
    </row>
    <row r="25" spans="1:14">
      <c r="A25" s="8">
        <f>rawData_HousePriceIndex_SZ!A25</f>
        <v>44531</v>
      </c>
      <c r="B25" s="22">
        <f>rawData_HousePriceIndex_SZ!B25</f>
        <v>57083</v>
      </c>
      <c r="E25" s="8"/>
      <c r="I25" s="16">
        <f t="shared" si="0"/>
        <v>2.9870152689192276E-3</v>
      </c>
      <c r="J25" s="16">
        <f>(Processed_CN_SZ[[#This Row],[Value]]-B13)/B13</f>
        <v>5.0708689145171227E-3</v>
      </c>
      <c r="K25" s="7">
        <f>Processed_CN_SZ[[#This Row],[Value]]/B24 * 100</f>
        <v>100.29870152689193</v>
      </c>
      <c r="L25" s="7">
        <f>Processed_CN_SZ[[#This Row],[Value]]/B13 * 100</f>
        <v>100.50708689145171</v>
      </c>
      <c r="M25" cm="1">
        <f t="array" ref="M25">ROUND( Processed_CN_SZ[[#This Row],[Value]] / AVERAGE( _xlfn._xlws.FILTER(Processed_CN_SZ[Value], YEAR(Processed_CN_SZ[Date])=2020) ), 3) * 100</f>
        <v>102.2</v>
      </c>
      <c r="N25" s="16" cm="1">
        <f t="array" ref="N25" xml:space="preserve"> Processed_CN_SZ[[#This Row],[Value]] / _xlfn.XLOOKUP(MIN(_xlfn._xlws.FILTER(Processed_CN_SZ[Date], YEAR(Processed_CN_SZ[Date])=YEAR(Processed_CN_SZ[[#This Row],[Date]]))), Processed_CN_SZ[Date], Processed_CN_SZ[Value]) - 1</f>
        <v>2.036266610493831E-3</v>
      </c>
    </row>
    <row r="26" spans="1:14">
      <c r="A26" s="8">
        <f>rawData_HousePriceIndex_SZ!A26</f>
        <v>44562</v>
      </c>
      <c r="B26" s="22">
        <f>rawData_HousePriceIndex_SZ!B26</f>
        <v>57198</v>
      </c>
      <c r="E26" s="8"/>
      <c r="I26" s="16">
        <f t="shared" si="0"/>
        <v>2.0146103042937478E-3</v>
      </c>
      <c r="J26" s="16">
        <f>(Processed_CN_SZ[[#This Row],[Value]]-B14)/B14</f>
        <v>4.0549791984833324E-3</v>
      </c>
      <c r="K26" s="7">
        <f>Processed_CN_SZ[[#This Row],[Value]]/B25 * 100</f>
        <v>100.20146103042937</v>
      </c>
      <c r="L26" s="7">
        <f>Processed_CN_SZ[[#This Row],[Value]]/B14 * 100</f>
        <v>100.40549791984834</v>
      </c>
      <c r="M26" cm="1">
        <f t="array" ref="M26">ROUND( Processed_CN_SZ[[#This Row],[Value]] / AVERAGE( _xlfn._xlws.FILTER(Processed_CN_SZ[Value], YEAR(Processed_CN_SZ[Date])=2020) ), 3) * 100</f>
        <v>102.4</v>
      </c>
      <c r="N26" s="16" cm="1">
        <f t="array" ref="N26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27" spans="1:14">
      <c r="A27" s="8">
        <f>rawData_HousePriceIndex_SZ!A27</f>
        <v>44593</v>
      </c>
      <c r="B27" s="22">
        <f>rawData_HousePriceIndex_SZ!B27</f>
        <v>57376</v>
      </c>
      <c r="E27" s="8"/>
      <c r="I27" s="16">
        <f t="shared" si="0"/>
        <v>3.1119969229693348E-3</v>
      </c>
      <c r="J27" s="16">
        <f>(Processed_CN_SZ[[#This Row],[Value]]-B15)/B15</f>
        <v>3.234774702313301E-3</v>
      </c>
      <c r="K27" s="7">
        <f>Processed_CN_SZ[[#This Row],[Value]]/B26 * 100</f>
        <v>100.31119969229694</v>
      </c>
      <c r="L27" s="7">
        <f>Processed_CN_SZ[[#This Row],[Value]]/B15 * 100</f>
        <v>100.32347747023134</v>
      </c>
      <c r="M27" cm="1">
        <f t="array" ref="M27">ROUND( Processed_CN_SZ[[#This Row],[Value]] / AVERAGE( _xlfn._xlws.FILTER(Processed_CN_SZ[Value], YEAR(Processed_CN_SZ[Date])=2020) ), 3) * 100</f>
        <v>102.69999999999999</v>
      </c>
      <c r="N27" s="16" cm="1">
        <f t="array" ref="N27" xml:space="preserve"> Processed_CN_SZ[[#This Row],[Value]] / _xlfn.XLOOKUP(MIN(_xlfn._xlws.FILTER(Processed_CN_SZ[Date], YEAR(Processed_CN_SZ[Date])=YEAR(Processed_CN_SZ[[#This Row],[Date]]))), Processed_CN_SZ[Date], Processed_CN_SZ[Value]) - 1</f>
        <v>3.1119969229693734E-3</v>
      </c>
    </row>
    <row r="28" spans="1:14">
      <c r="A28" s="8">
        <f>rawData_HousePriceIndex_SZ!A28</f>
        <v>44621</v>
      </c>
      <c r="B28" s="22">
        <f>rawData_HousePriceIndex_SZ!B28</f>
        <v>57510</v>
      </c>
      <c r="E28" s="8"/>
      <c r="I28" s="16">
        <f t="shared" si="0"/>
        <v>2.3354712771890686E-3</v>
      </c>
      <c r="J28" s="16">
        <f>(Processed_CN_SZ[[#This Row],[Value]]-B16)/B16</f>
        <v>3.7875482170596757E-3</v>
      </c>
      <c r="K28" s="7">
        <f>Processed_CN_SZ[[#This Row],[Value]]/B27 * 100</f>
        <v>100.23354712771891</v>
      </c>
      <c r="L28" s="7">
        <f>Processed_CN_SZ[[#This Row],[Value]]/B16 * 100</f>
        <v>100.37875482170597</v>
      </c>
      <c r="M28" cm="1">
        <f t="array" ref="M28">ROUND( Processed_CN_SZ[[#This Row],[Value]] / AVERAGE( _xlfn._xlws.FILTER(Processed_CN_SZ[Value], YEAR(Processed_CN_SZ[Date])=2020) ), 3) * 100</f>
        <v>103</v>
      </c>
      <c r="N28" s="16" cm="1">
        <f t="array" ref="N28" xml:space="preserve"> Processed_CN_SZ[[#This Row],[Value]] / _xlfn.XLOOKUP(MIN(_xlfn._xlws.FILTER(Processed_CN_SZ[Date], YEAR(Processed_CN_SZ[Date])=YEAR(Processed_CN_SZ[[#This Row],[Date]]))), Processed_CN_SZ[Date], Processed_CN_SZ[Value]) - 1</f>
        <v>5.4547361795866944E-3</v>
      </c>
    </row>
    <row r="29" spans="1:14">
      <c r="A29" s="8">
        <f>rawData_HousePriceIndex_SZ!A29</f>
        <v>44652</v>
      </c>
      <c r="B29" s="22">
        <f>rawData_HousePriceIndex_SZ!B29</f>
        <v>57640</v>
      </c>
      <c r="E29" s="8"/>
      <c r="I29" s="16">
        <f t="shared" si="0"/>
        <v>2.2604764388801948E-3</v>
      </c>
      <c r="J29" s="16">
        <f>(Processed_CN_SZ[[#This Row],[Value]]-B17)/B17</f>
        <v>1.0129333006203778E-2</v>
      </c>
      <c r="K29" s="7">
        <f>Processed_CN_SZ[[#This Row],[Value]]/B28 * 100</f>
        <v>100.22604764388802</v>
      </c>
      <c r="L29" s="7">
        <f>Processed_CN_SZ[[#This Row],[Value]]/B17 * 100</f>
        <v>101.01293330062038</v>
      </c>
      <c r="M29" cm="1">
        <f t="array" ref="M29">ROUND( Processed_CN_SZ[[#This Row],[Value]] / AVERAGE( _xlfn._xlws.FILTER(Processed_CN_SZ[Value], YEAR(Processed_CN_SZ[Date])=2020) ), 3) * 100</f>
        <v>103.2</v>
      </c>
      <c r="N29" s="16" cm="1">
        <f t="array" ref="N29" xml:space="preserve"> Processed_CN_SZ[[#This Row],[Value]] / _xlfn.XLOOKUP(MIN(_xlfn._xlws.FILTER(Processed_CN_SZ[Date], YEAR(Processed_CN_SZ[Date])=YEAR(Processed_CN_SZ[[#This Row],[Date]]))), Processed_CN_SZ[Date], Processed_CN_SZ[Value]) - 1</f>
        <v>7.727542921081243E-3</v>
      </c>
    </row>
    <row r="30" spans="1:14">
      <c r="A30" s="8">
        <f>rawData_HousePriceIndex_SZ!A30</f>
        <v>44682</v>
      </c>
      <c r="B30" s="22">
        <f>rawData_HousePriceIndex_SZ!B30</f>
        <v>57411</v>
      </c>
      <c r="E30" s="8"/>
      <c r="I30" s="16">
        <f t="shared" si="0"/>
        <v>-3.9729354614850797E-3</v>
      </c>
      <c r="J30" s="16">
        <f>(Processed_CN_SZ[[#This Row],[Value]]-B18)/B18</f>
        <v>8.484401349072513E-3</v>
      </c>
      <c r="K30" s="7">
        <f>Processed_CN_SZ[[#This Row],[Value]]/B29 * 100</f>
        <v>99.602706453851496</v>
      </c>
      <c r="L30" s="7">
        <f>Processed_CN_SZ[[#This Row],[Value]]/B18 * 100</f>
        <v>100.84844013490726</v>
      </c>
      <c r="M30" cm="1">
        <f t="array" ref="M30">ROUND( Processed_CN_SZ[[#This Row],[Value]] / AVERAGE( _xlfn._xlws.FILTER(Processed_CN_SZ[Value], YEAR(Processed_CN_SZ[Date])=2020) ), 3) * 100</f>
        <v>102.8</v>
      </c>
      <c r="N30" s="16" cm="1">
        <f t="array" ref="N30" xml:space="preserve"> Processed_CN_SZ[[#This Row],[Value]] / _xlfn.XLOOKUP(MIN(_xlfn._xlws.FILTER(Processed_CN_SZ[Date], YEAR(Processed_CN_SZ[Date])=YEAR(Processed_CN_SZ[[#This Row],[Date]]))), Processed_CN_SZ[Date], Processed_CN_SZ[Value]) - 1</f>
        <v>3.7239064302947433E-3</v>
      </c>
    </row>
    <row r="31" spans="1:14">
      <c r="A31" s="8">
        <f>rawData_HousePriceIndex_SZ!A31</f>
        <v>44713</v>
      </c>
      <c r="B31" s="22">
        <f>rawData_HousePriceIndex_SZ!B31</f>
        <v>56843</v>
      </c>
      <c r="E31" s="8"/>
      <c r="I31" s="16">
        <f t="shared" si="0"/>
        <v>-9.8935744021180615E-3</v>
      </c>
      <c r="J31" s="16">
        <f>(Processed_CN_SZ[[#This Row],[Value]]-B19)/B19</f>
        <v>-1.335230766527873E-3</v>
      </c>
      <c r="K31" s="7">
        <f>Processed_CN_SZ[[#This Row],[Value]]/B30 * 100</f>
        <v>99.010642559788195</v>
      </c>
      <c r="L31" s="7">
        <f>Processed_CN_SZ[[#This Row],[Value]]/B19 * 100</f>
        <v>99.866476923347207</v>
      </c>
      <c r="M31" cm="1">
        <f t="array" ref="M31">ROUND( Processed_CN_SZ[[#This Row],[Value]] / AVERAGE( _xlfn._xlws.FILTER(Processed_CN_SZ[Value], YEAR(Processed_CN_SZ[Date])=2020) ), 3) * 100</f>
        <v>101.8</v>
      </c>
      <c r="N31" s="16" cm="1">
        <f t="array" ref="N31" xml:space="preserve"> Processed_CN_SZ[[#This Row],[Value]] / _xlfn.XLOOKUP(MIN(_xlfn._xlws.FILTER(Processed_CN_SZ[Date], YEAR(Processed_CN_SZ[Date])=YEAR(Processed_CN_SZ[[#This Row],[Date]]))), Processed_CN_SZ[Date], Processed_CN_SZ[Value]) - 1</f>
        <v>-6.2065107171579426E-3</v>
      </c>
    </row>
    <row r="32" spans="1:14">
      <c r="A32" s="8">
        <f>rawData_HousePriceIndex_SZ!A32</f>
        <v>44743</v>
      </c>
      <c r="B32" s="22">
        <f>rawData_HousePriceIndex_SZ!B32</f>
        <v>56732</v>
      </c>
      <c r="E32" s="8"/>
      <c r="I32" s="16">
        <f t="shared" si="0"/>
        <v>-1.9527470400928875E-3</v>
      </c>
      <c r="J32" s="16">
        <f>(Processed_CN_SZ[[#This Row],[Value]]-B20)/B20</f>
        <v>-1.3081901050727159E-2</v>
      </c>
      <c r="K32" s="7">
        <f>Processed_CN_SZ[[#This Row],[Value]]/B31 * 100</f>
        <v>99.804725295990721</v>
      </c>
      <c r="L32" s="7">
        <f>Processed_CN_SZ[[#This Row],[Value]]/B20 * 100</f>
        <v>98.691809894927289</v>
      </c>
      <c r="M32" cm="1">
        <f t="array" ref="M32">ROUND( Processed_CN_SZ[[#This Row],[Value]] / AVERAGE( _xlfn._xlws.FILTER(Processed_CN_SZ[Value], YEAR(Processed_CN_SZ[Date])=2020) ), 3) * 100</f>
        <v>101.6</v>
      </c>
      <c r="N32" s="16" cm="1">
        <f t="array" ref="N32" xml:space="preserve"> Processed_CN_SZ[[#This Row],[Value]] / _xlfn.XLOOKUP(MIN(_xlfn._xlws.FILTER(Processed_CN_SZ[Date], YEAR(Processed_CN_SZ[Date])=YEAR(Processed_CN_SZ[[#This Row],[Date]]))), Processed_CN_SZ[Date], Processed_CN_SZ[Value]) - 1</f>
        <v>-8.1471380118185444E-3</v>
      </c>
    </row>
    <row r="33" spans="1:14">
      <c r="A33" s="8">
        <f>rawData_HousePriceIndex_SZ!A33</f>
        <v>44774</v>
      </c>
      <c r="B33" s="22">
        <f>rawData_HousePriceIndex_SZ!B33</f>
        <v>56841</v>
      </c>
      <c r="E33" s="8"/>
      <c r="I33" s="16">
        <f t="shared" si="0"/>
        <v>1.9213142494535712E-3</v>
      </c>
      <c r="J33" s="16">
        <f>(Processed_CN_SZ[[#This Row],[Value]]-B21)/B21</f>
        <v>-6.5888356810793807E-3</v>
      </c>
      <c r="K33" s="7">
        <f>Processed_CN_SZ[[#This Row],[Value]]/B32 * 100</f>
        <v>100.19213142494536</v>
      </c>
      <c r="L33" s="7">
        <f>Processed_CN_SZ[[#This Row],[Value]]/B21 * 100</f>
        <v>99.341116431892061</v>
      </c>
      <c r="M33" cm="1">
        <f t="array" ref="M33">ROUND( Processed_CN_SZ[[#This Row],[Value]] / AVERAGE( _xlfn._xlws.FILTER(Processed_CN_SZ[Value], YEAR(Processed_CN_SZ[Date])=2020) ), 3) * 100</f>
        <v>101.8</v>
      </c>
      <c r="N33" s="16" cm="1">
        <f t="array" ref="N33" xml:space="preserve"> Processed_CN_SZ[[#This Row],[Value]] / _xlfn.XLOOKUP(MIN(_xlfn._xlws.FILTER(Processed_CN_SZ[Date], YEAR(Processed_CN_SZ[Date])=YEAR(Processed_CN_SZ[[#This Row],[Date]]))), Processed_CN_SZ[Date], Processed_CN_SZ[Value]) - 1</f>
        <v>-6.2414769747194399E-3</v>
      </c>
    </row>
    <row r="34" spans="1:14">
      <c r="A34" s="8">
        <f>rawData_HousePriceIndex_SZ!A34</f>
        <v>44805</v>
      </c>
      <c r="B34" s="22">
        <f>rawData_HousePriceIndex_SZ!B34</f>
        <v>57203</v>
      </c>
      <c r="E34" s="8"/>
      <c r="I34" s="16">
        <f t="shared" si="0"/>
        <v>6.3686423532309426E-3</v>
      </c>
      <c r="J34" s="16">
        <f>(Processed_CN_SZ[[#This Row],[Value]]-B22)/B22</f>
        <v>2.0495392915951373E-3</v>
      </c>
      <c r="K34" s="7">
        <f>Processed_CN_SZ[[#This Row],[Value]]/B33 * 100</f>
        <v>100.6368642353231</v>
      </c>
      <c r="L34" s="7">
        <f>Processed_CN_SZ[[#This Row],[Value]]/B22 * 100</f>
        <v>100.20495392915952</v>
      </c>
      <c r="M34" cm="1">
        <f t="array" ref="M34">ROUND( Processed_CN_SZ[[#This Row],[Value]] / AVERAGE( _xlfn._xlws.FILTER(Processed_CN_SZ[Value], YEAR(Processed_CN_SZ[Date])=2020) ), 3) * 100</f>
        <v>102.4</v>
      </c>
      <c r="N34" s="16" cm="1">
        <f t="array" ref="N34" xml:space="preserve"> Processed_CN_SZ[[#This Row],[Value]] / _xlfn.XLOOKUP(MIN(_xlfn._xlws.FILTER(Processed_CN_SZ[Date], YEAR(Processed_CN_SZ[Date])=YEAR(Processed_CN_SZ[[#This Row],[Date]]))), Processed_CN_SZ[Date], Processed_CN_SZ[Value]) - 1</f>
        <v>8.7415643903687723E-5</v>
      </c>
    </row>
    <row r="35" spans="1:14">
      <c r="A35" s="8">
        <f>rawData_HousePriceIndex_SZ!A35</f>
        <v>44835</v>
      </c>
      <c r="B35" s="22">
        <f>rawData_HousePriceIndex_SZ!B35</f>
        <v>57297</v>
      </c>
      <c r="E35" s="8"/>
      <c r="I35" s="16">
        <f t="shared" si="0"/>
        <v>1.64327045784312E-3</v>
      </c>
      <c r="J35" s="16">
        <f>(Processed_CN_SZ[[#This Row],[Value]]-B23)/B23</f>
        <v>1.3406675038469021E-2</v>
      </c>
      <c r="K35" s="7">
        <f>Processed_CN_SZ[[#This Row],[Value]]/B34 * 100</f>
        <v>100.1643270457843</v>
      </c>
      <c r="L35" s="7">
        <f>Processed_CN_SZ[[#This Row],[Value]]/B23 * 100</f>
        <v>101.34066750384689</v>
      </c>
      <c r="M35" cm="1">
        <f t="array" ref="M35">ROUND( Processed_CN_SZ[[#This Row],[Value]] / AVERAGE( _xlfn._xlws.FILTER(Processed_CN_SZ[Value], YEAR(Processed_CN_SZ[Date])=2020) ), 3) * 100</f>
        <v>102.60000000000001</v>
      </c>
      <c r="N35" s="16" cm="1">
        <f t="array" ref="N35" xml:space="preserve"> Processed_CN_SZ[[#This Row],[Value]] / _xlfn.XLOOKUP(MIN(_xlfn._xlws.FILTER(Processed_CN_SZ[Date], YEAR(Processed_CN_SZ[Date])=YEAR(Processed_CN_SZ[[#This Row],[Date]]))), Processed_CN_SZ[Date], Processed_CN_SZ[Value]) - 1</f>
        <v>1.7308297492919511E-3</v>
      </c>
    </row>
    <row r="36" spans="1:14">
      <c r="A36" s="8">
        <f>rawData_HousePriceIndex_SZ!A36</f>
        <v>44866</v>
      </c>
      <c r="B36" s="22">
        <f>rawData_HousePriceIndex_SZ!B36</f>
        <v>57456</v>
      </c>
      <c r="E36" s="8"/>
      <c r="I36" s="16">
        <f t="shared" si="0"/>
        <v>2.7750143986596159E-3</v>
      </c>
      <c r="J36" s="16">
        <f>(Processed_CN_SZ[[#This Row],[Value]]-B24)/B24</f>
        <v>9.540878182489063E-3</v>
      </c>
      <c r="K36" s="7">
        <f>Processed_CN_SZ[[#This Row],[Value]]/B35 * 100</f>
        <v>100.27750143986596</v>
      </c>
      <c r="L36" s="7">
        <f>Processed_CN_SZ[[#This Row],[Value]]/B24 * 100</f>
        <v>100.95408781824891</v>
      </c>
      <c r="M36" cm="1">
        <f t="array" ref="M36">ROUND( Processed_CN_SZ[[#This Row],[Value]] / AVERAGE( _xlfn._xlws.FILTER(Processed_CN_SZ[Value], YEAR(Processed_CN_SZ[Date])=2020) ), 3) * 100</f>
        <v>102.89999999999999</v>
      </c>
      <c r="N36" s="16" cm="1">
        <f t="array" ref="N36" xml:space="preserve"> Processed_CN_SZ[[#This Row],[Value]] / _xlfn.XLOOKUP(MIN(_xlfn._xlws.FILTER(Processed_CN_SZ[Date], YEAR(Processed_CN_SZ[Date])=YEAR(Processed_CN_SZ[[#This Row],[Date]]))), Processed_CN_SZ[Date], Processed_CN_SZ[Value]) - 1</f>
        <v>4.5106472254274887E-3</v>
      </c>
    </row>
    <row r="37" spans="1:14">
      <c r="A37" s="8">
        <f>rawData_HousePriceIndex_SZ!A37</f>
        <v>44896</v>
      </c>
      <c r="B37" s="22">
        <f>rawData_HousePriceIndex_SZ!B37</f>
        <v>57751</v>
      </c>
      <c r="E37" s="8"/>
      <c r="I37" s="16">
        <f t="shared" si="0"/>
        <v>5.1343636869952657E-3</v>
      </c>
      <c r="J37" s="16">
        <f>(Processed_CN_SZ[[#This Row],[Value]]-B25)/B25</f>
        <v>1.1702258115375857E-2</v>
      </c>
      <c r="K37" s="7">
        <f>Processed_CN_SZ[[#This Row],[Value]]/B36 * 100</f>
        <v>100.51343636869952</v>
      </c>
      <c r="L37" s="7">
        <f>Processed_CN_SZ[[#This Row],[Value]]/B25 * 100</f>
        <v>101.17022581153759</v>
      </c>
      <c r="M37" cm="1">
        <f t="array" ref="M37">ROUND( Processed_CN_SZ[[#This Row],[Value]] / AVERAGE( _xlfn._xlws.FILTER(Processed_CN_SZ[Value], YEAR(Processed_CN_SZ[Date])=2020) ), 3) * 100</f>
        <v>103.4</v>
      </c>
      <c r="N37" s="16" cm="1">
        <f t="array" ref="N37" xml:space="preserve"> Processed_CN_SZ[[#This Row],[Value]] / _xlfn.XLOOKUP(MIN(_xlfn._xlws.FILTER(Processed_CN_SZ[Date], YEAR(Processed_CN_SZ[Date])=YEAR(Processed_CN_SZ[[#This Row],[Date]]))), Processed_CN_SZ[Date], Processed_CN_SZ[Value]) - 1</f>
        <v>9.6681702157417337E-3</v>
      </c>
    </row>
    <row r="38" spans="1:14">
      <c r="A38" s="8">
        <f>rawData_HousePriceIndex_SZ!A38</f>
        <v>44927</v>
      </c>
      <c r="B38" s="22">
        <f>rawData_HousePriceIndex_SZ!B38</f>
        <v>58303</v>
      </c>
      <c r="E38" s="8"/>
      <c r="I38" s="16">
        <f t="shared" si="0"/>
        <v>9.5582760471680153E-3</v>
      </c>
      <c r="J38" s="16">
        <f>(Processed_CN_SZ[[#This Row],[Value]]-B26)/B26</f>
        <v>1.9318857302702892E-2</v>
      </c>
      <c r="K38" s="7">
        <f>Processed_CN_SZ[[#This Row],[Value]]/B37 * 100</f>
        <v>100.9558276047168</v>
      </c>
      <c r="L38" s="7">
        <f>Processed_CN_SZ[[#This Row],[Value]]/B26 * 100</f>
        <v>101.9318857302703</v>
      </c>
      <c r="M38" cm="1">
        <f t="array" ref="M38">ROUND( Processed_CN_SZ[[#This Row],[Value]] / AVERAGE( _xlfn._xlws.FILTER(Processed_CN_SZ[Value], YEAR(Processed_CN_SZ[Date])=2020) ), 3) * 100</f>
        <v>104.4</v>
      </c>
      <c r="N38" s="16" cm="1">
        <f t="array" ref="N38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39" spans="1:14">
      <c r="A39" s="8">
        <f>rawData_HousePriceIndex_SZ!A39</f>
        <v>44958</v>
      </c>
      <c r="B39" s="22">
        <f>rawData_HousePriceIndex_SZ!B39</f>
        <v>58337</v>
      </c>
      <c r="E39" s="8"/>
      <c r="I39" s="16">
        <f t="shared" si="0"/>
        <v>5.8316038625799704E-4</v>
      </c>
      <c r="J39" s="16">
        <f>(Processed_CN_SZ[[#This Row],[Value]]-B27)/B27</f>
        <v>1.6749163413273843E-2</v>
      </c>
      <c r="K39" s="7">
        <f>Processed_CN_SZ[[#This Row],[Value]]/B38 * 100</f>
        <v>100.0583160386258</v>
      </c>
      <c r="L39" s="7">
        <f>Processed_CN_SZ[[#This Row],[Value]]/B27 * 100</f>
        <v>101.67491634132739</v>
      </c>
      <c r="M39" cm="1">
        <f t="array" ref="M39">ROUND( Processed_CN_SZ[[#This Row],[Value]] / AVERAGE( _xlfn._xlws.FILTER(Processed_CN_SZ[Value], YEAR(Processed_CN_SZ[Date])=2020) ), 3) * 100</f>
        <v>104.4</v>
      </c>
      <c r="N39" s="16" cm="1">
        <f t="array" ref="N39" xml:space="preserve"> Processed_CN_SZ[[#This Row],[Value]] / _xlfn.XLOOKUP(MIN(_xlfn._xlws.FILTER(Processed_CN_SZ[Date], YEAR(Processed_CN_SZ[Date])=YEAR(Processed_CN_SZ[[#This Row],[Date]]))), Processed_CN_SZ[Date], Processed_CN_SZ[Value]) - 1</f>
        <v>5.8316038625805255E-4</v>
      </c>
    </row>
    <row r="40" spans="1:14">
      <c r="A40" s="8">
        <f>rawData_HousePriceIndex_SZ!A40</f>
        <v>44986</v>
      </c>
      <c r="B40" s="22">
        <f>rawData_HousePriceIndex_SZ!B40</f>
        <v>58448</v>
      </c>
      <c r="E40" s="8"/>
      <c r="I40" s="16">
        <f t="shared" si="0"/>
        <v>1.9027375422116324E-3</v>
      </c>
      <c r="J40" s="16">
        <f>(Processed_CN_SZ[[#This Row],[Value]]-B28)/B28</f>
        <v>1.6310206920535558E-2</v>
      </c>
      <c r="K40" s="7">
        <f>Processed_CN_SZ[[#This Row],[Value]]/B39 * 100</f>
        <v>100.19027375422115</v>
      </c>
      <c r="L40" s="7">
        <f>Processed_CN_SZ[[#This Row],[Value]]/B28 * 100</f>
        <v>101.63102069205357</v>
      </c>
      <c r="M40" cm="1">
        <f t="array" ref="M40">ROUND( Processed_CN_SZ[[#This Row],[Value]] / AVERAGE( _xlfn._xlws.FILTER(Processed_CN_SZ[Value], YEAR(Processed_CN_SZ[Date])=2020) ), 3) * 100</f>
        <v>104.60000000000001</v>
      </c>
      <c r="N40" s="16" cm="1">
        <f t="array" ref="N40" xml:space="preserve"> Processed_CN_SZ[[#This Row],[Value]] / _xlfn.XLOOKUP(MIN(_xlfn._xlws.FILTER(Processed_CN_SZ[Date], YEAR(Processed_CN_SZ[Date])=YEAR(Processed_CN_SZ[[#This Row],[Date]]))), Processed_CN_SZ[Date], Processed_CN_SZ[Value]) - 1</f>
        <v>2.4870075296297145E-3</v>
      </c>
    </row>
    <row r="41" spans="1:14">
      <c r="A41" s="8">
        <f>rawData_HousePriceIndex_SZ!A41</f>
        <v>45017</v>
      </c>
      <c r="B41" s="22">
        <f>rawData_HousePriceIndex_SZ!B41</f>
        <v>58184</v>
      </c>
      <c r="E41" s="8"/>
      <c r="I41" s="16">
        <f t="shared" si="0"/>
        <v>-4.5168354776895705E-3</v>
      </c>
      <c r="J41" s="16">
        <f>(Processed_CN_SZ[[#This Row],[Value]]-B29)/B29</f>
        <v>9.4378903539208883E-3</v>
      </c>
      <c r="K41" s="7">
        <f>Processed_CN_SZ[[#This Row],[Value]]/B40 * 100</f>
        <v>99.548316452231049</v>
      </c>
      <c r="L41" s="7">
        <f>Processed_CN_SZ[[#This Row],[Value]]/B29 * 100</f>
        <v>100.9437890353921</v>
      </c>
      <c r="M41" cm="1">
        <f t="array" ref="M41">ROUND( Processed_CN_SZ[[#This Row],[Value]] / AVERAGE( _xlfn._xlws.FILTER(Processed_CN_SZ[Value], YEAR(Processed_CN_SZ[Date])=2020) ), 3) * 100</f>
        <v>104.2</v>
      </c>
      <c r="N41" s="16" cm="1">
        <f t="array" ref="N41" xml:space="preserve"> Processed_CN_SZ[[#This Row],[Value]] / _xlfn.XLOOKUP(MIN(_xlfn._xlws.FILTER(Processed_CN_SZ[Date], YEAR(Processed_CN_SZ[Date])=YEAR(Processed_CN_SZ[[#This Row],[Date]]))), Processed_CN_SZ[Date], Processed_CN_SZ[Value]) - 1</f>
        <v>-2.0410613519029619E-3</v>
      </c>
    </row>
    <row r="42" spans="1:14">
      <c r="A42" s="8">
        <f>rawData_HousePriceIndex_SZ!A42</f>
        <v>45047</v>
      </c>
      <c r="B42" s="22">
        <f>rawData_HousePriceIndex_SZ!B42</f>
        <v>58540</v>
      </c>
      <c r="E42" s="8"/>
      <c r="I42" s="16">
        <f t="shared" si="0"/>
        <v>6.1185205554791693E-3</v>
      </c>
      <c r="J42" s="16">
        <f>(Processed_CN_SZ[[#This Row],[Value]]-B30)/B30</f>
        <v>1.9665220950688893E-2</v>
      </c>
      <c r="K42" s="7">
        <f>Processed_CN_SZ[[#This Row],[Value]]/B41 * 100</f>
        <v>100.61185205554793</v>
      </c>
      <c r="L42" s="7">
        <f>Processed_CN_SZ[[#This Row],[Value]]/B30 * 100</f>
        <v>101.9665220950689</v>
      </c>
      <c r="M42" cm="1">
        <f t="array" ref="M42">ROUND( Processed_CN_SZ[[#This Row],[Value]] / AVERAGE( _xlfn._xlws.FILTER(Processed_CN_SZ[Value], YEAR(Processed_CN_SZ[Date])=2020) ), 3) * 100</f>
        <v>104.80000000000001</v>
      </c>
      <c r="N42" s="16" cm="1">
        <f t="array" ref="N42" xml:space="preserve"> Processed_CN_SZ[[#This Row],[Value]] / _xlfn.XLOOKUP(MIN(_xlfn._xlws.FILTER(Processed_CN_SZ[Date], YEAR(Processed_CN_SZ[Date])=YEAR(Processed_CN_SZ[[#This Row],[Date]]))), Processed_CN_SZ[Date], Processed_CN_SZ[Value]) - 1</f>
        <v>4.0649709277396084E-3</v>
      </c>
    </row>
    <row r="43" spans="1:14">
      <c r="A43" s="8">
        <f>rawData_HousePriceIndex_SZ!A43</f>
        <v>45078</v>
      </c>
      <c r="B43" s="22">
        <f>rawData_HousePriceIndex_SZ!B43</f>
        <v>58687</v>
      </c>
      <c r="E43" s="8"/>
      <c r="I43" s="16">
        <f t="shared" si="0"/>
        <v>2.511103518961394E-3</v>
      </c>
      <c r="J43" s="16">
        <f>(Processed_CN_SZ[[#This Row],[Value]]-B31)/B31</f>
        <v>3.2440230107489046E-2</v>
      </c>
      <c r="K43" s="7">
        <f>Processed_CN_SZ[[#This Row],[Value]]/B42 * 100</f>
        <v>100.25111035189613</v>
      </c>
      <c r="L43" s="7">
        <f>Processed_CN_SZ[[#This Row],[Value]]/B31 * 100</f>
        <v>103.2440230107489</v>
      </c>
      <c r="M43" cm="1">
        <f t="array" ref="M43">ROUND( Processed_CN_SZ[[#This Row],[Value]] / AVERAGE( _xlfn._xlws.FILTER(Processed_CN_SZ[Value], YEAR(Processed_CN_SZ[Date])=2020) ), 3) * 100</f>
        <v>105.1</v>
      </c>
      <c r="N43" s="16" cm="1">
        <f t="array" ref="N43" xml:space="preserve"> Processed_CN_SZ[[#This Row],[Value]] / _xlfn.XLOOKUP(MIN(_xlfn._xlws.FILTER(Processed_CN_SZ[Date], YEAR(Processed_CN_SZ[Date])=YEAR(Processed_CN_SZ[[#This Row],[Date]]))), Processed_CN_SZ[Date], Processed_CN_SZ[Value]) - 1</f>
        <v>6.5862820095021757E-3</v>
      </c>
    </row>
    <row r="44" spans="1:14">
      <c r="A44" s="8">
        <f>rawData_HousePriceIndex_SZ!A44</f>
        <v>45108</v>
      </c>
      <c r="B44" s="22">
        <f>rawData_HousePriceIndex_SZ!B44</f>
        <v>58718</v>
      </c>
      <c r="E44" s="8"/>
      <c r="I44" s="16">
        <f t="shared" si="0"/>
        <v>5.2822601257518701E-4</v>
      </c>
      <c r="J44" s="16">
        <f>(Processed_CN_SZ[[#This Row],[Value]]-B32)/B32</f>
        <v>3.5006698159768736E-2</v>
      </c>
      <c r="K44" s="7">
        <f>Processed_CN_SZ[[#This Row],[Value]]/B43 * 100</f>
        <v>100.05282260125752</v>
      </c>
      <c r="L44" s="7">
        <f>Processed_CN_SZ[[#This Row],[Value]]/B32 * 100</f>
        <v>103.50066981597688</v>
      </c>
      <c r="M44" cm="1">
        <f t="array" ref="M44">ROUND( Processed_CN_SZ[[#This Row],[Value]] / AVERAGE( _xlfn._xlws.FILTER(Processed_CN_SZ[Value], YEAR(Processed_CN_SZ[Date])=2020) ), 3) * 100</f>
        <v>105.1</v>
      </c>
      <c r="N44" s="16" cm="1">
        <f t="array" ref="N44" xml:space="preserve"> Processed_CN_SZ[[#This Row],[Value]] / _xlfn.XLOOKUP(MIN(_xlfn._xlws.FILTER(Processed_CN_SZ[Date], YEAR(Processed_CN_SZ[Date])=YEAR(Processed_CN_SZ[[#This Row],[Date]]))), Processed_CN_SZ[Date], Processed_CN_SZ[Value]) - 1</f>
        <v>7.1179870675608381E-3</v>
      </c>
    </row>
    <row r="45" spans="1:14">
      <c r="A45" s="8">
        <f>rawData_HousePriceIndex_SZ!A45</f>
        <v>45139</v>
      </c>
      <c r="B45" s="22">
        <f>rawData_HousePriceIndex_SZ!B45</f>
        <v>59143</v>
      </c>
      <c r="E45" s="8"/>
      <c r="I45" s="16">
        <f t="shared" si="0"/>
        <v>7.2379849449913146E-3</v>
      </c>
      <c r="J45" s="16">
        <f>(Processed_CN_SZ[[#This Row],[Value]]-B33)/B33</f>
        <v>4.0498935627452014E-2</v>
      </c>
      <c r="K45" s="7">
        <f>Processed_CN_SZ[[#This Row],[Value]]/B44 * 100</f>
        <v>100.72379849449914</v>
      </c>
      <c r="L45" s="7">
        <f>Processed_CN_SZ[[#This Row],[Value]]/B33 * 100</f>
        <v>104.04989356274521</v>
      </c>
      <c r="M45" cm="1">
        <f t="array" ref="M45">ROUND( Processed_CN_SZ[[#This Row],[Value]] / AVERAGE( _xlfn._xlws.FILTER(Processed_CN_SZ[Value], YEAR(Processed_CN_SZ[Date])=2020) ), 3) * 100</f>
        <v>105.89999999999999</v>
      </c>
      <c r="N45" s="16" cm="1">
        <f t="array" ref="N45" xml:space="preserve"> Processed_CN_SZ[[#This Row],[Value]] / _xlfn.XLOOKUP(MIN(_xlfn._xlws.FILTER(Processed_CN_SZ[Date], YEAR(Processed_CN_SZ[Date])=YEAR(Processed_CN_SZ[[#This Row],[Date]]))), Processed_CN_SZ[Date], Processed_CN_SZ[Value]) - 1</f>
        <v>1.4407491895785718E-2</v>
      </c>
    </row>
    <row r="46" spans="1:14">
      <c r="A46" s="8">
        <f>rawData_HousePriceIndex_SZ!A46</f>
        <v>45170</v>
      </c>
      <c r="B46" s="22">
        <f>rawData_HousePriceIndex_SZ!B46</f>
        <v>59609</v>
      </c>
      <c r="E46" s="8"/>
      <c r="I46" s="16">
        <f t="shared" si="0"/>
        <v>7.8792080212366639E-3</v>
      </c>
      <c r="J46" s="16">
        <f>(Processed_CN_SZ[[#This Row],[Value]]-B34)/B34</f>
        <v>4.2060731080537733E-2</v>
      </c>
      <c r="K46" s="7">
        <f>Processed_CN_SZ[[#This Row],[Value]]/B45 * 100</f>
        <v>100.78792080212366</v>
      </c>
      <c r="L46" s="7">
        <f>Processed_CN_SZ[[#This Row],[Value]]/B34 * 100</f>
        <v>104.20607310805377</v>
      </c>
      <c r="M46" cm="1">
        <f t="array" ref="M46">ROUND( Processed_CN_SZ[[#This Row],[Value]] / AVERAGE( _xlfn._xlws.FILTER(Processed_CN_SZ[Value], YEAR(Processed_CN_SZ[Date])=2020) ), 3) * 100</f>
        <v>106.69999999999999</v>
      </c>
      <c r="N46" s="16" cm="1">
        <f t="array" ref="N46" xml:space="preserve"> Processed_CN_SZ[[#This Row],[Value]] / _xlfn.XLOOKUP(MIN(_xlfn._xlws.FILTER(Processed_CN_SZ[Date], YEAR(Processed_CN_SZ[Date])=YEAR(Processed_CN_SZ[[#This Row],[Date]]))), Processed_CN_SZ[Date], Processed_CN_SZ[Value]) - 1</f>
        <v>2.2400219542733746E-2</v>
      </c>
    </row>
    <row r="47" spans="1:14">
      <c r="A47" s="8">
        <f>rawData_HousePriceIndex_SZ!A47</f>
        <v>45200</v>
      </c>
      <c r="B47" s="22">
        <f>rawData_HousePriceIndex_SZ!B47</f>
        <v>60408</v>
      </c>
      <c r="E47" s="8"/>
      <c r="I47" s="16">
        <f t="shared" si="0"/>
        <v>1.3404016172054556E-2</v>
      </c>
      <c r="J47" s="16">
        <f>(Processed_CN_SZ[[#This Row],[Value]]-B35)/B35</f>
        <v>5.4296036441698517E-2</v>
      </c>
      <c r="K47" s="7">
        <f>Processed_CN_SZ[[#This Row],[Value]]/B46 * 100</f>
        <v>101.34040161720546</v>
      </c>
      <c r="L47" s="7">
        <f>Processed_CN_SZ[[#This Row],[Value]]/B35 * 100</f>
        <v>105.42960364416984</v>
      </c>
      <c r="M47" cm="1">
        <f t="array" ref="M47">ROUND( Processed_CN_SZ[[#This Row],[Value]] / AVERAGE( _xlfn._xlws.FILTER(Processed_CN_SZ[Value], YEAR(Processed_CN_SZ[Date])=2020) ), 3) * 100</f>
        <v>108.2</v>
      </c>
      <c r="N47" s="16" cm="1">
        <f t="array" ref="N47" xml:space="preserve"> Processed_CN_SZ[[#This Row],[Value]] / _xlfn.XLOOKUP(MIN(_xlfn._xlws.FILTER(Processed_CN_SZ[Date], YEAR(Processed_CN_SZ[Date])=YEAR(Processed_CN_SZ[[#This Row],[Date]]))), Processed_CN_SZ[Date], Processed_CN_SZ[Value]) - 1</f>
        <v>3.6104488619796538E-2</v>
      </c>
    </row>
    <row r="48" spans="1:14">
      <c r="A48" s="8">
        <f>rawData_HousePriceIndex_SZ!A48</f>
        <v>45231</v>
      </c>
      <c r="B48" s="22">
        <f>rawData_HousePriceIndex_SZ!B48</f>
        <v>62237</v>
      </c>
      <c r="E48" s="8"/>
      <c r="I48" s="16">
        <f t="shared" si="0"/>
        <v>3.0277446695801881E-2</v>
      </c>
      <c r="J48" s="16">
        <f>(Processed_CN_SZ[[#This Row],[Value]]-B36)/B36</f>
        <v>8.3211500974658875E-2</v>
      </c>
      <c r="K48" s="7">
        <f>Processed_CN_SZ[[#This Row],[Value]]/B47 * 100</f>
        <v>103.02774466958017</v>
      </c>
      <c r="L48" s="7">
        <f>Processed_CN_SZ[[#This Row],[Value]]/B36 * 100</f>
        <v>108.32115009746587</v>
      </c>
      <c r="M48" cm="1">
        <f t="array" ref="M48">ROUND( Processed_CN_SZ[[#This Row],[Value]] / AVERAGE( _xlfn._xlws.FILTER(Processed_CN_SZ[Value], YEAR(Processed_CN_SZ[Date])=2020) ), 3) * 100</f>
        <v>111.4</v>
      </c>
      <c r="N48" s="16" cm="1">
        <f t="array" ref="N48" xml:space="preserve"> Processed_CN_SZ[[#This Row],[Value]] / _xlfn.XLOOKUP(MIN(_xlfn._xlws.FILTER(Processed_CN_SZ[Date], YEAR(Processed_CN_SZ[Date])=YEAR(Processed_CN_SZ[[#This Row],[Date]]))), Processed_CN_SZ[Date], Processed_CN_SZ[Value]) - 1</f>
        <v>6.7475087045263615E-2</v>
      </c>
    </row>
    <row r="49" spans="1:14">
      <c r="A49" s="8">
        <f>rawData_HousePriceIndex_SZ!A49</f>
        <v>45261</v>
      </c>
      <c r="B49" s="22">
        <f>rawData_HousePriceIndex_SZ!B49</f>
        <v>63787</v>
      </c>
      <c r="E49" s="8"/>
      <c r="I49" s="16">
        <f t="shared" si="0"/>
        <v>2.4904799395857768E-2</v>
      </c>
      <c r="J49" s="16">
        <f>(Processed_CN_SZ[[#This Row],[Value]]-B37)/B37</f>
        <v>0.10451767068968502</v>
      </c>
      <c r="K49" s="7">
        <f>Processed_CN_SZ[[#This Row],[Value]]/B48 * 100</f>
        <v>102.49047993958578</v>
      </c>
      <c r="L49" s="7">
        <f>Processed_CN_SZ[[#This Row],[Value]]/B37 * 100</f>
        <v>110.45176706896851</v>
      </c>
      <c r="M49" cm="1">
        <f t="array" ref="M49">ROUND( Processed_CN_SZ[[#This Row],[Value]] / AVERAGE( _xlfn._xlws.FILTER(Processed_CN_SZ[Value], YEAR(Processed_CN_SZ[Date])=2020) ), 3) * 100</f>
        <v>114.19999999999999</v>
      </c>
      <c r="N49" s="16" cm="1">
        <f t="array" ref="N49" xml:space="preserve"> Processed_CN_SZ[[#This Row],[Value]] / _xlfn.XLOOKUP(MIN(_xlfn._xlws.FILTER(Processed_CN_SZ[Date], YEAR(Processed_CN_SZ[Date])=YEAR(Processed_CN_SZ[[#This Row],[Date]]))), Processed_CN_SZ[Date], Processed_CN_SZ[Value]) - 1</f>
        <v>9.4060339948201621E-2</v>
      </c>
    </row>
    <row r="50" spans="1:14">
      <c r="A50" s="8">
        <f>rawData_HousePriceIndex_SZ!A50</f>
        <v>45292</v>
      </c>
      <c r="B50" s="22">
        <f>rawData_HousePriceIndex_SZ!B50</f>
        <v>64939</v>
      </c>
      <c r="E50" s="8"/>
      <c r="I50" s="16">
        <f t="shared" si="0"/>
        <v>1.8060106291250568E-2</v>
      </c>
      <c r="J50" s="16">
        <f>(Processed_CN_SZ[[#This Row],[Value]]-B38)/B38</f>
        <v>0.11381918597670788</v>
      </c>
      <c r="K50" s="7">
        <f>Processed_CN_SZ[[#This Row],[Value]]/B49 * 100</f>
        <v>101.80601062912507</v>
      </c>
      <c r="L50" s="7">
        <f>Processed_CN_SZ[[#This Row],[Value]]/B38 * 100</f>
        <v>111.38191859767079</v>
      </c>
      <c r="M50" cm="1">
        <f t="array" ref="M50">ROUND( Processed_CN_SZ[[#This Row],[Value]] / AVERAGE( _xlfn._xlws.FILTER(Processed_CN_SZ[Value], YEAR(Processed_CN_SZ[Date])=2020) ), 3) * 100</f>
        <v>116.3</v>
      </c>
      <c r="N50" s="16" cm="1">
        <f t="array" ref="N50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51" spans="1:14">
      <c r="A51" s="8">
        <f>rawData_HousePriceIndex_SZ!A51</f>
        <v>45323</v>
      </c>
      <c r="B51" s="22">
        <f>rawData_HousePriceIndex_SZ!B51</f>
        <v>65903</v>
      </c>
      <c r="E51" s="8"/>
      <c r="I51" s="16">
        <f t="shared" si="0"/>
        <v>1.4844700411155085E-2</v>
      </c>
      <c r="J51" s="16">
        <f>(Processed_CN_SZ[[#This Row],[Value]]-B39)/B39</f>
        <v>0.12969470490426316</v>
      </c>
      <c r="K51" s="7">
        <f>Processed_CN_SZ[[#This Row],[Value]]/B50 * 100</f>
        <v>101.48447004111551</v>
      </c>
      <c r="L51" s="7">
        <f>Processed_CN_SZ[[#This Row],[Value]]/B39 * 100</f>
        <v>112.96947049042632</v>
      </c>
      <c r="M51" cm="1">
        <f t="array" ref="M51">ROUND( Processed_CN_SZ[[#This Row],[Value]] / AVERAGE( _xlfn._xlws.FILTER(Processed_CN_SZ[Value], YEAR(Processed_CN_SZ[Date])=2020) ), 3) * 100</f>
        <v>118</v>
      </c>
      <c r="N51" s="16" cm="1">
        <f t="array" ref="N51" xml:space="preserve"> Processed_CN_SZ[[#This Row],[Value]] / _xlfn.XLOOKUP(MIN(_xlfn._xlws.FILTER(Processed_CN_SZ[Date], YEAR(Processed_CN_SZ[Date])=YEAR(Processed_CN_SZ[[#This Row],[Date]]))), Processed_CN_SZ[Date], Processed_CN_SZ[Value]) - 1</f>
        <v>1.4844700411155154E-2</v>
      </c>
    </row>
    <row r="52" spans="1:14">
      <c r="A52" s="8">
        <f>rawData_HousePriceIndex_SZ!A52</f>
        <v>45352</v>
      </c>
      <c r="B52" s="22">
        <f>rawData_HousePriceIndex_SZ!B52</f>
        <v>63948</v>
      </c>
      <c r="E52" s="8"/>
      <c r="I52" s="16">
        <f t="shared" si="0"/>
        <v>-2.9664810403168294E-2</v>
      </c>
      <c r="J52" s="16">
        <f>(Processed_CN_SZ[[#This Row],[Value]]-B40)/B40</f>
        <v>9.4100739118532714E-2</v>
      </c>
      <c r="K52" s="7">
        <f>Processed_CN_SZ[[#This Row],[Value]]/B51 * 100</f>
        <v>97.033518959683178</v>
      </c>
      <c r="L52" s="7">
        <f>Processed_CN_SZ[[#This Row],[Value]]/B40 * 100</f>
        <v>109.41007391185326</v>
      </c>
      <c r="M52" cm="1">
        <f t="array" ref="M52">ROUND( Processed_CN_SZ[[#This Row],[Value]] / AVERAGE( _xlfn._xlws.FILTER(Processed_CN_SZ[Value], YEAR(Processed_CN_SZ[Date])=2020) ), 3) * 100</f>
        <v>114.5</v>
      </c>
      <c r="N52" s="16" cm="1">
        <f t="array" ref="N52" xml:space="preserve"> Processed_CN_SZ[[#This Row],[Value]] / _xlfn.XLOOKUP(MIN(_xlfn._xlws.FILTER(Processed_CN_SZ[Date], YEAR(Processed_CN_SZ[Date])=YEAR(Processed_CN_SZ[[#This Row],[Date]]))), Processed_CN_SZ[Date], Processed_CN_SZ[Value]) - 1</f>
        <v>-1.5260475215201907E-2</v>
      </c>
    </row>
    <row r="53" spans="1:14">
      <c r="A53" s="8">
        <f>rawData_HousePriceIndex_SZ!A53</f>
        <v>45383</v>
      </c>
      <c r="B53" s="22">
        <f>rawData_HousePriceIndex_SZ!B53</f>
        <v>63001</v>
      </c>
      <c r="E53" s="8"/>
      <c r="I53" s="16">
        <f t="shared" si="0"/>
        <v>-1.4808907237130168E-2</v>
      </c>
      <c r="J53" s="16">
        <f>(Processed_CN_SZ[[#This Row],[Value]]-B41)/B41</f>
        <v>8.2789082909390896E-2</v>
      </c>
      <c r="K53" s="7">
        <f>Processed_CN_SZ[[#This Row],[Value]]/B52 * 100</f>
        <v>98.519109276286983</v>
      </c>
      <c r="L53" s="7">
        <f>Processed_CN_SZ[[#This Row],[Value]]/B41 * 100</f>
        <v>108.27890829093909</v>
      </c>
      <c r="M53" cm="1">
        <f t="array" ref="M53">ROUND( Processed_CN_SZ[[#This Row],[Value]] / AVERAGE( _xlfn._xlws.FILTER(Processed_CN_SZ[Value], YEAR(Processed_CN_SZ[Date])=2020) ), 3) * 100</f>
        <v>112.79999999999998</v>
      </c>
      <c r="N53" s="16" cm="1">
        <f t="array" ref="N53" xml:space="preserve"> Processed_CN_SZ[[#This Row],[Value]] / _xlfn.XLOOKUP(MIN(_xlfn._xlws.FILTER(Processed_CN_SZ[Date], YEAR(Processed_CN_SZ[Date])=YEAR(Processed_CN_SZ[[#This Row],[Date]]))), Processed_CN_SZ[Date], Processed_CN_SZ[Value]) - 1</f>
        <v>-2.9843391490475657E-2</v>
      </c>
    </row>
    <row r="54" spans="1:14">
      <c r="A54" s="8">
        <f>rawData_HousePriceIndex_SZ!A54</f>
        <v>45413</v>
      </c>
      <c r="B54" s="22">
        <f>rawData_HousePriceIndex_SZ!B54</f>
        <v>62221</v>
      </c>
      <c r="E54" s="8"/>
      <c r="I54" s="16">
        <f t="shared" si="0"/>
        <v>-1.2380755861018078E-2</v>
      </c>
      <c r="J54" s="16">
        <f>(Processed_CN_SZ[[#This Row],[Value]]-B42)/B42</f>
        <v>6.2880081995216941E-2</v>
      </c>
      <c r="K54" s="7">
        <f>Processed_CN_SZ[[#This Row],[Value]]/B53 * 100</f>
        <v>98.7619244138982</v>
      </c>
      <c r="L54" s="7">
        <f>Processed_CN_SZ[[#This Row],[Value]]/B42 * 100</f>
        <v>106.28800819952168</v>
      </c>
      <c r="M54" cm="1">
        <f t="array" ref="M54">ROUND( Processed_CN_SZ[[#This Row],[Value]] / AVERAGE( _xlfn._xlws.FILTER(Processed_CN_SZ[Value], YEAR(Processed_CN_SZ[Date])=2020) ), 3) * 100</f>
        <v>111.4</v>
      </c>
      <c r="N54" s="16" cm="1">
        <f t="array" ref="N54" xml:space="preserve"> Processed_CN_SZ[[#This Row],[Value]] / _xlfn.XLOOKUP(MIN(_xlfn._xlws.FILTER(Processed_CN_SZ[Date], YEAR(Processed_CN_SZ[Date])=YEAR(Processed_CN_SZ[[#This Row],[Date]]))), Processed_CN_SZ[Date], Processed_CN_SZ[Value]) - 1</f>
        <v>-4.1854663607385434E-2</v>
      </c>
    </row>
    <row r="55" spans="1:14">
      <c r="A55" s="8">
        <f>rawData_HousePriceIndex_SZ!A55</f>
        <v>45444</v>
      </c>
      <c r="B55" s="22">
        <f>rawData_HousePriceIndex_SZ!B55</f>
        <v>62093</v>
      </c>
      <c r="E55" s="8"/>
      <c r="I55" s="16">
        <f t="shared" si="0"/>
        <v>-2.0571832660998698E-3</v>
      </c>
      <c r="J55" s="16">
        <f>(Processed_CN_SZ[[#This Row],[Value]]-B43)/B43</f>
        <v>5.803670318809958E-2</v>
      </c>
      <c r="K55" s="7">
        <f>Processed_CN_SZ[[#This Row],[Value]]/B54 * 100</f>
        <v>99.794281673390017</v>
      </c>
      <c r="L55" s="7">
        <f>Processed_CN_SZ[[#This Row],[Value]]/B43 * 100</f>
        <v>105.80367031880995</v>
      </c>
      <c r="M55" cm="1">
        <f t="array" ref="M55">ROUND( Processed_CN_SZ[[#This Row],[Value]] / AVERAGE( _xlfn._xlws.FILTER(Processed_CN_SZ[Value], YEAR(Processed_CN_SZ[Date])=2020) ), 3) * 100</f>
        <v>111.20000000000002</v>
      </c>
      <c r="N55" s="16" cm="1">
        <f t="array" ref="N55" xml:space="preserve"> Processed_CN_SZ[[#This Row],[Value]] / _xlfn.XLOOKUP(MIN(_xlfn._xlws.FILTER(Processed_CN_SZ[Date], YEAR(Processed_CN_SZ[Date])=YEAR(Processed_CN_SZ[[#This Row],[Date]]))), Processed_CN_SZ[Date], Processed_CN_SZ[Value]) - 1</f>
        <v>-4.3825744159903923E-2</v>
      </c>
    </row>
    <row r="56" spans="1:14">
      <c r="A56" s="8">
        <f>rawData_HousePriceIndex_SZ!A56</f>
        <v>45474</v>
      </c>
      <c r="B56" s="22">
        <f>rawData_HousePriceIndex_SZ!B56</f>
        <v>61715</v>
      </c>
      <c r="E56" s="8"/>
      <c r="I56" s="16">
        <f t="shared" si="0"/>
        <v>-6.0876427294542061E-3</v>
      </c>
      <c r="J56" s="16">
        <f>(Processed_CN_SZ[[#This Row],[Value]]-B44)/B44</f>
        <v>5.1040566776797573E-2</v>
      </c>
      <c r="K56" s="7">
        <f>Processed_CN_SZ[[#This Row],[Value]]/B55 * 100</f>
        <v>99.391235727054578</v>
      </c>
      <c r="L56" s="7">
        <f>Processed_CN_SZ[[#This Row],[Value]]/B44 * 100</f>
        <v>105.10405667767975</v>
      </c>
      <c r="M56" cm="1">
        <f t="array" ref="M56">ROUND( Processed_CN_SZ[[#This Row],[Value]] / AVERAGE( _xlfn._xlws.FILTER(Processed_CN_SZ[Value], YEAR(Processed_CN_SZ[Date])=2020) ), 3) * 100</f>
        <v>110.5</v>
      </c>
      <c r="N56" s="16" cm="1">
        <f t="array" ref="N56" xml:space="preserve"> Processed_CN_SZ[[#This Row],[Value]] / _xlfn.XLOOKUP(MIN(_xlfn._xlws.FILTER(Processed_CN_SZ[Date], YEAR(Processed_CN_SZ[Date])=YEAR(Processed_CN_SZ[[#This Row],[Date]]))), Processed_CN_SZ[Date], Processed_CN_SZ[Value]) - 1</f>
        <v>-4.9646591416560137E-2</v>
      </c>
    </row>
    <row r="57" spans="1:14">
      <c r="A57" s="8">
        <f>rawData_HousePriceIndex_SZ!A57</f>
        <v>45505</v>
      </c>
      <c r="B57" s="22">
        <f>rawData_HousePriceIndex_SZ!B57</f>
        <v>61323</v>
      </c>
      <c r="E57" s="8"/>
      <c r="I57" s="16">
        <f t="shared" si="0"/>
        <v>-6.3517783358988901E-3</v>
      </c>
      <c r="J57" s="16">
        <f>(Processed_CN_SZ[[#This Row],[Value]]-B45)/B45</f>
        <v>3.6859814348274518E-2</v>
      </c>
      <c r="K57" s="7">
        <f>Processed_CN_SZ[[#This Row],[Value]]/B56 * 100</f>
        <v>99.364822166410121</v>
      </c>
      <c r="L57" s="7">
        <f>Processed_CN_SZ[[#This Row],[Value]]/B45 * 100</f>
        <v>103.68598143482745</v>
      </c>
      <c r="M57" cm="1">
        <f t="array" ref="M57">ROUND( Processed_CN_SZ[[#This Row],[Value]] / AVERAGE( _xlfn._xlws.FILTER(Processed_CN_SZ[Value], YEAR(Processed_CN_SZ[Date])=2020) ), 3) * 100</f>
        <v>109.80000000000001</v>
      </c>
      <c r="N57" s="16" cm="1">
        <f t="array" ref="N57" xml:space="preserve"> Processed_CN_SZ[[#This Row],[Value]] / _xlfn.XLOOKUP(MIN(_xlfn._xlws.FILTER(Processed_CN_SZ[Date], YEAR(Processed_CN_SZ[Date])=YEAR(Processed_CN_SZ[[#This Row],[Date]]))), Processed_CN_SZ[Date], Processed_CN_SZ[Value]) - 1</f>
        <v>-5.5683025608648129E-2</v>
      </c>
    </row>
    <row r="58" spans="1:14">
      <c r="A58" s="8">
        <f>rawData_HousePriceIndex_SZ!A58</f>
        <v>45536</v>
      </c>
      <c r="B58" s="22">
        <f>rawData_HousePriceIndex_SZ!B58</f>
        <v>59852</v>
      </c>
      <c r="E58" s="8"/>
      <c r="I58" s="16">
        <f t="shared" si="0"/>
        <v>-2.3987737064396719E-2</v>
      </c>
      <c r="J58" s="16">
        <f>(Processed_CN_SZ[[#This Row],[Value]]-B46)/B46</f>
        <v>4.0765656192856782E-3</v>
      </c>
      <c r="K58" s="7">
        <f>Processed_CN_SZ[[#This Row],[Value]]/B57 * 100</f>
        <v>97.60122629356033</v>
      </c>
      <c r="L58" s="7">
        <f>Processed_CN_SZ[[#This Row],[Value]]/B46 * 100</f>
        <v>100.40765656192856</v>
      </c>
      <c r="M58" cm="1">
        <f t="array" ref="M58">ROUND( Processed_CN_SZ[[#This Row],[Value]] / AVERAGE( _xlfn._xlws.FILTER(Processed_CN_SZ[Value], YEAR(Processed_CN_SZ[Date])=2020) ), 3) * 100</f>
        <v>107.2</v>
      </c>
      <c r="N58" s="16" cm="1">
        <f t="array" ref="N58" xml:space="preserve"> Processed_CN_SZ[[#This Row],[Value]] / _xlfn.XLOOKUP(MIN(_xlfn._xlws.FILTER(Processed_CN_SZ[Date], YEAR(Processed_CN_SZ[Date])=YEAR(Processed_CN_SZ[[#This Row],[Date]]))), Processed_CN_SZ[Date], Processed_CN_SZ[Value]) - 1</f>
        <v>-7.8335052895794566E-2</v>
      </c>
    </row>
    <row r="59" spans="1:14">
      <c r="A59" s="8">
        <f>rawData_HousePriceIndex_SZ!A59</f>
        <v>45566</v>
      </c>
      <c r="B59" s="22">
        <f>rawData_HousePriceIndex_SZ!B59</f>
        <v>59148</v>
      </c>
      <c r="E59" s="8"/>
      <c r="I59" s="16">
        <f t="shared" si="0"/>
        <v>-1.1762347122903161E-2</v>
      </c>
      <c r="J59" s="16">
        <f>(Processed_CN_SZ[[#This Row],[Value]]-B47)/B47</f>
        <v>-2.0858164481525627E-2</v>
      </c>
      <c r="K59" s="7">
        <f>Processed_CN_SZ[[#This Row],[Value]]/B58 * 100</f>
        <v>98.823765287709691</v>
      </c>
      <c r="L59" s="7">
        <f>Processed_CN_SZ[[#This Row],[Value]]/B47 * 100</f>
        <v>97.914183551847429</v>
      </c>
      <c r="M59" cm="1">
        <f t="array" ref="M59">ROUND( Processed_CN_SZ[[#This Row],[Value]] / AVERAGE( _xlfn._xlws.FILTER(Processed_CN_SZ[Value], YEAR(Processed_CN_SZ[Date])=2020) ), 3) * 100</f>
        <v>105.89999999999999</v>
      </c>
      <c r="N59" s="16" cm="1">
        <f t="array" ref="N59" xml:space="preserve"> Processed_CN_SZ[[#This Row],[Value]] / _xlfn.XLOOKUP(MIN(_xlfn._xlws.FILTER(Processed_CN_SZ[Date], YEAR(Processed_CN_SZ[Date])=YEAR(Processed_CN_SZ[[#This Row],[Date]]))), Processed_CN_SZ[Date], Processed_CN_SZ[Value]) - 1</f>
        <v>-8.9175995934646313E-2</v>
      </c>
    </row>
    <row r="60" spans="1:14">
      <c r="A60" s="8">
        <f>rawData_HousePriceIndex_SZ!A60</f>
        <v>45597</v>
      </c>
      <c r="B60" s="22">
        <f>rawData_HousePriceIndex_SZ!B60</f>
        <v>58256</v>
      </c>
      <c r="E60" s="8"/>
      <c r="I60" s="16">
        <f t="shared" si="0"/>
        <v>-1.5080814228714412E-2</v>
      </c>
      <c r="J60" s="16">
        <f>(Processed_CN_SZ[[#This Row],[Value]]-B48)/B48</f>
        <v>-6.3965165416070821E-2</v>
      </c>
      <c r="K60" s="7">
        <f>Processed_CN_SZ[[#This Row],[Value]]/B59 * 100</f>
        <v>98.491918577128558</v>
      </c>
      <c r="L60" s="7">
        <f>Processed_CN_SZ[[#This Row],[Value]]/B48 * 100</f>
        <v>93.603483458392915</v>
      </c>
      <c r="M60" cm="1">
        <f t="array" ref="M60">ROUND( Processed_CN_SZ[[#This Row],[Value]] / AVERAGE( _xlfn._xlws.FILTER(Processed_CN_SZ[Value], YEAR(Processed_CN_SZ[Date])=2020) ), 3) * 100</f>
        <v>104.3</v>
      </c>
      <c r="N60" s="16" cm="1">
        <f t="array" ref="N60" xml:space="preserve"> Processed_CN_SZ[[#This Row],[Value]] / _xlfn.XLOOKUP(MIN(_xlfn._xlws.FILTER(Processed_CN_SZ[Date], YEAR(Processed_CN_SZ[Date])=YEAR(Processed_CN_SZ[[#This Row],[Date]]))), Processed_CN_SZ[Date], Processed_CN_SZ[Value]) - 1</f>
        <v>-0.10291196353500975</v>
      </c>
    </row>
    <row r="61" spans="1:14">
      <c r="A61" s="8">
        <f>rawData_HousePriceIndex_SZ!A61</f>
        <v>45627</v>
      </c>
      <c r="B61" s="22">
        <f>rawData_HousePriceIndex_SZ!B61</f>
        <v>58499</v>
      </c>
      <c r="E61" s="8"/>
      <c r="I61" s="16">
        <f t="shared" si="0"/>
        <v>4.1712441636912933E-3</v>
      </c>
      <c r="J61" s="16">
        <f>(Processed_CN_SZ[[#This Row],[Value]]-B49)/B49</f>
        <v>-8.2900904573032119E-2</v>
      </c>
      <c r="K61" s="7">
        <f>Processed_CN_SZ[[#This Row],[Value]]/B60 * 100</f>
        <v>100.41712441636912</v>
      </c>
      <c r="L61" s="7">
        <f>Processed_CN_SZ[[#This Row],[Value]]/B49 * 100</f>
        <v>91.709909542696792</v>
      </c>
      <c r="M61" cm="1">
        <f t="array" ref="M61">ROUND( Processed_CN_SZ[[#This Row],[Value]] / AVERAGE( _xlfn._xlws.FILTER(Processed_CN_SZ[Value], YEAR(Processed_CN_SZ[Date])=2020) ), 3) * 100</f>
        <v>104.69999999999999</v>
      </c>
      <c r="N61" s="16" cm="1">
        <f t="array" ref="N61" xml:space="preserve"> Processed_CN_SZ[[#This Row],[Value]] / _xlfn.XLOOKUP(MIN(_xlfn._xlws.FILTER(Processed_CN_SZ[Date], YEAR(Processed_CN_SZ[Date])=YEAR(Processed_CN_SZ[[#This Row],[Date]]))), Processed_CN_SZ[Date], Processed_CN_SZ[Value]) - 1</f>
        <v>-9.9169990298587862E-2</v>
      </c>
    </row>
    <row r="62" spans="1:14">
      <c r="A62" s="8">
        <f>rawData_HousePriceIndex_SZ!A62</f>
        <v>45658</v>
      </c>
      <c r="B62" s="22">
        <f>rawData_HousePriceIndex_SZ!B62</f>
        <v>58518</v>
      </c>
      <c r="E62" s="8"/>
      <c r="I62" s="16">
        <f t="shared" si="0"/>
        <v>3.2479187678421853E-4</v>
      </c>
      <c r="J62" s="16">
        <f>(Processed_CN_SZ[[#This Row],[Value]]-B50)/B50</f>
        <v>-9.8877408029073438E-2</v>
      </c>
      <c r="K62" s="7">
        <f>Processed_CN_SZ[[#This Row],[Value]]/B61 * 100</f>
        <v>100.03247918767842</v>
      </c>
      <c r="L62" s="7">
        <f>Processed_CN_SZ[[#This Row],[Value]]/B50 * 100</f>
        <v>90.112259197092655</v>
      </c>
      <c r="M62" cm="1">
        <f t="array" ref="M62">ROUND( Processed_CN_SZ[[#This Row],[Value]] / AVERAGE( _xlfn._xlws.FILTER(Processed_CN_SZ[Value], YEAR(Processed_CN_SZ[Date])=2020) ), 3) * 100</f>
        <v>104.80000000000001</v>
      </c>
      <c r="N62" s="16" cm="1">
        <f t="array" ref="N62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63" spans="1:14">
      <c r="A63" s="8">
        <f>rawData_HousePriceIndex_SZ!A63</f>
        <v>45689</v>
      </c>
      <c r="B63" s="22">
        <f>rawData_HousePriceIndex_SZ!B63</f>
        <v>59245</v>
      </c>
      <c r="E63" s="8"/>
      <c r="I63" s="16">
        <f t="shared" si="0"/>
        <v>1.2423527803410916E-2</v>
      </c>
      <c r="J63" s="16">
        <f>(Processed_CN_SZ[[#This Row],[Value]]-B51)/B51</f>
        <v>-0.10102726734746521</v>
      </c>
      <c r="K63" s="7">
        <f>Processed_CN_SZ[[#This Row],[Value]]/B62 * 100</f>
        <v>101.24235278034108</v>
      </c>
      <c r="L63" s="7">
        <f>Processed_CN_SZ[[#This Row],[Value]]/B51 * 100</f>
        <v>89.897273265253475</v>
      </c>
      <c r="M63" cm="1">
        <f t="array" ref="M63">ROUND( Processed_CN_SZ[[#This Row],[Value]] / AVERAGE( _xlfn._xlws.FILTER(Processed_CN_SZ[Value], YEAR(Processed_CN_SZ[Date])=2020) ), 3) * 100</f>
        <v>106.1</v>
      </c>
      <c r="N63" s="16" cm="1">
        <f t="array" ref="N63" xml:space="preserve"> Processed_CN_SZ[[#This Row],[Value]] / _xlfn.XLOOKUP(MIN(_xlfn._xlws.FILTER(Processed_CN_SZ[Date], YEAR(Processed_CN_SZ[Date])=YEAR(Processed_CN_SZ[[#This Row],[Date]]))), Processed_CN_SZ[Date], Processed_CN_SZ[Value]) - 1</f>
        <v>1.2423527803410828E-2</v>
      </c>
    </row>
    <row r="64" spans="1:14">
      <c r="A64" s="8">
        <f>rawData_HousePriceIndex_SZ!A64</f>
        <v>45717</v>
      </c>
      <c r="B64" s="22">
        <f>rawData_HousePriceIndex_SZ!B64</f>
        <v>58586</v>
      </c>
      <c r="E64" s="8"/>
      <c r="I64" s="16">
        <f t="shared" si="0"/>
        <v>-1.112330154443413E-2</v>
      </c>
      <c r="J64" s="16">
        <f>(Processed_CN_SZ[[#This Row],[Value]]-B52)/B52</f>
        <v>-8.3849377619315699E-2</v>
      </c>
      <c r="K64" s="7">
        <f>Processed_CN_SZ[[#This Row],[Value]]/B63 * 100</f>
        <v>98.887669845556587</v>
      </c>
      <c r="L64" s="7">
        <f>Processed_CN_SZ[[#This Row],[Value]]/B52 * 100</f>
        <v>91.615062238068433</v>
      </c>
      <c r="M64" cm="1">
        <f t="array" ref="M64">ROUND( Processed_CN_SZ[[#This Row],[Value]] / AVERAGE( _xlfn._xlws.FILTER(Processed_CN_SZ[Value], YEAR(Processed_CN_SZ[Date])=2020) ), 3) * 100</f>
        <v>104.89999999999999</v>
      </c>
      <c r="N64" s="16" cm="1">
        <f t="array" ref="N64" xml:space="preserve"> Processed_CN_SZ[[#This Row],[Value]] / _xlfn.XLOOKUP(MIN(_xlfn._xlws.FILTER(Processed_CN_SZ[Date], YEAR(Processed_CN_SZ[Date])=YEAR(Processed_CN_SZ[[#This Row],[Date]]))), Processed_CN_SZ[Date], Processed_CN_SZ[Value]) - 1</f>
        <v>1.1620356129737885E-3</v>
      </c>
    </row>
    <row r="65" spans="1:14">
      <c r="A65" s="8">
        <f>rawData_HousePriceIndex_SZ!A65</f>
        <v>45748</v>
      </c>
      <c r="B65" s="22">
        <f>rawData_HousePriceIndex_SZ!B65</f>
        <v>57856</v>
      </c>
      <c r="E65" s="8"/>
      <c r="I65" s="16">
        <f t="shared" si="0"/>
        <v>-1.2460314750964395E-2</v>
      </c>
      <c r="J65" s="16">
        <f>(Processed_CN_SZ[[#This Row],[Value]]-B53)/B53</f>
        <v>-8.1665370390946179E-2</v>
      </c>
      <c r="K65" s="7">
        <f>Processed_CN_SZ[[#This Row],[Value]]/B64 * 100</f>
        <v>98.753968524903556</v>
      </c>
      <c r="L65" s="7">
        <f>Processed_CN_SZ[[#This Row],[Value]]/B53 * 100</f>
        <v>91.833462960905393</v>
      </c>
      <c r="M65" cm="1">
        <f t="array" ref="M65">ROUND( Processed_CN_SZ[[#This Row],[Value]] / AVERAGE( _xlfn._xlws.FILTER(Processed_CN_SZ[Value], YEAR(Processed_CN_SZ[Date])=2020) ), 3) * 100</f>
        <v>103.60000000000001</v>
      </c>
      <c r="N65" s="16" cm="1">
        <f t="array" ref="N65" xml:space="preserve"> Processed_CN_SZ[[#This Row],[Value]] / _xlfn.XLOOKUP(MIN(_xlfn._xlws.FILTER(Processed_CN_SZ[Date], YEAR(Processed_CN_SZ[Date])=YEAR(Processed_CN_SZ[[#This Row],[Date]]))), Processed_CN_SZ[Date], Processed_CN_SZ[Value]) - 1</f>
        <v>-1.1312758467480144E-2</v>
      </c>
    </row>
    <row r="66" spans="1:14">
      <c r="A66" s="8">
        <f>rawData_HousePriceIndex_SZ!A66</f>
        <v>45778</v>
      </c>
      <c r="B66" s="22">
        <f>rawData_HousePriceIndex_SZ!B66</f>
        <v>57823</v>
      </c>
      <c r="E66" s="8"/>
      <c r="I66" s="16">
        <f t="shared" si="0"/>
        <v>-5.7038163716814161E-4</v>
      </c>
      <c r="J66" s="16">
        <f>(Processed_CN_SZ[[#This Row],[Value]]-B54)/B54</f>
        <v>-7.0683531283650208E-2</v>
      </c>
      <c r="K66" s="7">
        <f>Processed_CN_SZ[[#This Row],[Value]]/B65 * 100</f>
        <v>99.942961836283189</v>
      </c>
      <c r="L66" s="7">
        <f>Processed_CN_SZ[[#This Row],[Value]]/B54 * 100</f>
        <v>92.931646871634982</v>
      </c>
      <c r="M66" cm="1">
        <f t="array" ref="M66">ROUND( Processed_CN_SZ[[#This Row],[Value]] / AVERAGE( _xlfn._xlws.FILTER(Processed_CN_SZ[Value], YEAR(Processed_CN_SZ[Date])=2020) ), 3) * 100</f>
        <v>103.49999999999999</v>
      </c>
      <c r="N66" s="16" cm="1">
        <f t="array" ref="N66" xml:space="preserve"> Processed_CN_SZ[[#This Row],[Value]] / _xlfn.XLOOKUP(MIN(_xlfn._xlws.FILTER(Processed_CN_SZ[Date], YEAR(Processed_CN_SZ[Date])=YEAR(Processed_CN_SZ[[#This Row],[Date]]))), Processed_CN_SZ[Date], Processed_CN_SZ[Value]) - 1</f>
        <v>-1.1876687514952633E-2</v>
      </c>
    </row>
    <row r="67" spans="1:14">
      <c r="A67" s="8">
        <f>rawData_HousePriceIndex_SZ!A67</f>
        <v>45809</v>
      </c>
      <c r="B67" s="22">
        <f>rawData_HousePriceIndex_SZ!B67</f>
        <v>56960</v>
      </c>
      <c r="E67" s="8"/>
      <c r="I67" s="16">
        <f t="shared" si="0"/>
        <v>-1.492485689085658E-2</v>
      </c>
      <c r="J67" s="16">
        <f>(Processed_CN_SZ[[#This Row],[Value]]-B55)/B55</f>
        <v>-8.2666323096001165E-2</v>
      </c>
      <c r="K67" s="7">
        <f>Processed_CN_SZ[[#This Row],[Value]]/B66 * 100</f>
        <v>98.507514310914345</v>
      </c>
      <c r="L67" s="7">
        <f>Processed_CN_SZ[[#This Row],[Value]]/B55 * 100</f>
        <v>91.733367690399888</v>
      </c>
      <c r="M67" cm="1">
        <f t="array" ref="M67">ROUND( Processed_CN_SZ[[#This Row],[Value]] / AVERAGE( _xlfn._xlws.FILTER(Processed_CN_SZ[Value], YEAR(Processed_CN_SZ[Date])=2020) ), 3) * 100</f>
        <v>102</v>
      </c>
      <c r="N67" s="16" cm="1">
        <f t="array" ref="N67" xml:space="preserve"> Processed_CN_SZ[[#This Row],[Value]] / _xlfn.XLOOKUP(MIN(_xlfn._xlws.FILTER(Processed_CN_SZ[Date], YEAR(Processed_CN_SZ[Date])=YEAR(Processed_CN_SZ[[#This Row],[Date]]))), Processed_CN_SZ[Date], Processed_CN_SZ[Value]) - 1</f>
        <v>-2.6624286544311149E-2</v>
      </c>
    </row>
    <row r="68" spans="1:14">
      <c r="A68" s="8">
        <f>rawData_HousePriceIndex_SZ!A68</f>
        <v>45839</v>
      </c>
      <c r="B68" s="22">
        <f>rawData_HousePriceIndex_SZ!B68</f>
        <v>55836</v>
      </c>
      <c r="E68" s="8"/>
      <c r="I68" s="16">
        <f t="shared" ref="I68:I72" si="1">(B68-B67)/B67</f>
        <v>-1.9733146067415729E-2</v>
      </c>
      <c r="J68" s="16">
        <f>(Processed_CN_SZ[[#This Row],[Value]]-B56)/B56</f>
        <v>-9.5260471522320339E-2</v>
      </c>
      <c r="K68" s="7">
        <f>Processed_CN_SZ[[#This Row],[Value]]/B67 * 100</f>
        <v>98.026685393258433</v>
      </c>
      <c r="L68" s="7">
        <f>Processed_CN_SZ[[#This Row],[Value]]/B56 * 100</f>
        <v>90.473952847767976</v>
      </c>
      <c r="M68" cm="1">
        <f t="array" ref="M68">ROUND( Processed_CN_SZ[[#This Row],[Value]] / AVERAGE( _xlfn._xlws.FILTER(Processed_CN_SZ[Value], YEAR(Processed_CN_SZ[Date])=2020) ), 3) * 100</f>
        <v>100</v>
      </c>
      <c r="N68" s="16" cm="1">
        <f t="array" ref="N68" xml:space="preserve"> Processed_CN_SZ[[#This Row],[Value]] / _xlfn.XLOOKUP(MIN(_xlfn._xlws.FILTER(Processed_CN_SZ[Date], YEAR(Processed_CN_SZ[Date])=YEAR(Processed_CN_SZ[[#This Row],[Date]]))), Processed_CN_SZ[Date], Processed_CN_SZ[Value]) - 1</f>
        <v>-4.5832051676407248E-2</v>
      </c>
    </row>
    <row r="69" spans="1:14">
      <c r="A69" s="8">
        <f>rawData_HousePriceIndex_SZ!A69</f>
        <v>45870</v>
      </c>
      <c r="B69" s="22">
        <f>rawData_HousePriceIndex_SZ!B69</f>
        <v>55407</v>
      </c>
      <c r="E69" s="8"/>
      <c r="I69" s="16">
        <f t="shared" si="1"/>
        <v>-7.6832151300236405E-3</v>
      </c>
      <c r="J69" s="16">
        <f>(Processed_CN_SZ[[#This Row],[Value]]-B57)/B57</f>
        <v>-9.6472775304535005E-2</v>
      </c>
      <c r="K69" s="7">
        <f>Processed_CN_SZ[[#This Row],[Value]]/B68 * 100</f>
        <v>99.231678486997637</v>
      </c>
      <c r="L69" s="7">
        <f>Processed_CN_SZ[[#This Row],[Value]]/B57 * 100</f>
        <v>90.352722469546492</v>
      </c>
      <c r="M69" cm="1">
        <f t="array" ref="M69">ROUND( Processed_CN_SZ[[#This Row],[Value]] / AVERAGE( _xlfn._xlws.FILTER(Processed_CN_SZ[Value], YEAR(Processed_CN_SZ[Date])=2020) ), 3) * 100</f>
        <v>99.2</v>
      </c>
      <c r="N69" s="16" cm="1">
        <f t="array" ref="N69" xml:space="preserve"> Processed_CN_SZ[[#This Row],[Value]] / _xlfn.XLOOKUP(MIN(_xlfn._xlws.FILTER(Processed_CN_SZ[Date], YEAR(Processed_CN_SZ[Date])=YEAR(Processed_CN_SZ[[#This Row],[Date]]))), Processed_CN_SZ[Date], Processed_CN_SZ[Value]) - 1</f>
        <v>-5.3163129293550715E-2</v>
      </c>
    </row>
    <row r="70" spans="1:14">
      <c r="A70" s="8">
        <f>rawData_HousePriceIndex_SZ!A70</f>
        <v>45901</v>
      </c>
      <c r="B70" s="22">
        <f>rawData_HousePriceIndex_SZ!B70</f>
        <v>54812</v>
      </c>
      <c r="E70" s="8"/>
      <c r="I70" s="16">
        <f t="shared" si="1"/>
        <v>-1.0738715324778457E-2</v>
      </c>
      <c r="J70" s="16">
        <f>(Processed_CN_SZ[[#This Row],[Value]]-B58)/B58</f>
        <v>-8.4207712357147635E-2</v>
      </c>
      <c r="K70" s="7">
        <f>Processed_CN_SZ[[#This Row],[Value]]/B69 * 100</f>
        <v>98.926128467522162</v>
      </c>
      <c r="L70" s="7">
        <f>Processed_CN_SZ[[#This Row],[Value]]/B58 * 100</f>
        <v>91.579228764285233</v>
      </c>
      <c r="M70" cm="1">
        <f t="array" ref="M70">ROUND( Processed_CN_SZ[[#This Row],[Value]] / AVERAGE( _xlfn._xlws.FILTER(Processed_CN_SZ[Value], YEAR(Processed_CN_SZ[Date])=2020) ), 3) * 100</f>
        <v>98.1</v>
      </c>
      <c r="N70" s="16" cm="1">
        <f t="array" ref="N70" xml:space="preserve"> Processed_CN_SZ[[#This Row],[Value]] / _xlfn.XLOOKUP(MIN(_xlfn._xlws.FILTER(Processed_CN_SZ[Date], YEAR(Processed_CN_SZ[Date])=YEAR(Processed_CN_SZ[[#This Row],[Date]]))), Processed_CN_SZ[Date], Processed_CN_SZ[Value]) - 1</f>
        <v>-6.3330940907071365E-2</v>
      </c>
    </row>
    <row r="71" spans="1:14">
      <c r="A71" s="8">
        <f>rawData_HousePriceIndex_SZ!A71</f>
        <v>45931</v>
      </c>
      <c r="B71" s="22">
        <f>rawData_HousePriceIndex_SZ!B71</f>
        <v>54326</v>
      </c>
      <c r="E71" s="8"/>
      <c r="I71" s="16">
        <f t="shared" si="1"/>
        <v>-8.8666715317813616E-3</v>
      </c>
      <c r="J71" s="16">
        <f>(Processed_CN_SZ[[#This Row],[Value]]-B59)/B59</f>
        <v>-8.1524311895583956E-2</v>
      </c>
      <c r="K71" s="7">
        <f>Processed_CN_SZ[[#This Row],[Value]]/B70 * 100</f>
        <v>99.113332846821862</v>
      </c>
      <c r="L71" s="7">
        <f>Processed_CN_SZ[[#This Row],[Value]]/B59 * 100</f>
        <v>91.847568810441601</v>
      </c>
      <c r="M71" cm="1">
        <f t="array" ref="M71">ROUND( Processed_CN_SZ[[#This Row],[Value]] / AVERAGE( _xlfn._xlws.FILTER(Processed_CN_SZ[Value], YEAR(Processed_CN_SZ[Date])=2020) ), 3) * 100</f>
        <v>97.3</v>
      </c>
      <c r="N71" s="16" cm="1">
        <f t="array" ref="N71" xml:space="preserve"> Processed_CN_SZ[[#This Row],[Value]] / _xlfn.XLOOKUP(MIN(_xlfn._xlws.FILTER(Processed_CN_SZ[Date], YEAR(Processed_CN_SZ[Date])=YEAR(Processed_CN_SZ[[#This Row],[Date]]))), Processed_CN_SZ[Date], Processed_CN_SZ[Value]) - 1</f>
        <v>-7.163607778803105E-2</v>
      </c>
    </row>
    <row r="72" spans="1:14">
      <c r="A72" s="8">
        <f>rawData_HousePriceIndex_SZ!A72</f>
        <v>45962</v>
      </c>
      <c r="B72" s="22">
        <f>rawData_HousePriceIndex_SZ!B72</f>
        <v>53741</v>
      </c>
      <c r="E72" s="8"/>
      <c r="I72" s="16">
        <f t="shared" si="1"/>
        <v>-1.0768324559142952E-2</v>
      </c>
      <c r="J72" s="16">
        <f>(Processed_CN_SZ[[#This Row],[Value]]-B60)/B60</f>
        <v>-7.7502746498214772E-2</v>
      </c>
      <c r="K72" s="7">
        <f>Processed_CN_SZ[[#This Row],[Value]]/B71 * 100</f>
        <v>98.9231675440857</v>
      </c>
      <c r="L72" s="7">
        <f>Processed_CN_SZ[[#This Row],[Value]]/B60 * 100</f>
        <v>92.249725350178522</v>
      </c>
      <c r="M72" cm="1">
        <f t="array" ref="M72">ROUND( Processed_CN_SZ[[#This Row],[Value]] / AVERAGE( _xlfn._xlws.FILTER(Processed_CN_SZ[Value], YEAR(Processed_CN_SZ[Date])=2020) ), 3) * 100</f>
        <v>96.2</v>
      </c>
      <c r="N72" s="16" cm="1">
        <f t="array" ref="N72" xml:space="preserve"> Processed_CN_SZ[[#This Row],[Value]] / _xlfn.XLOOKUP(MIN(_xlfn._xlws.FILTER(Processed_CN_SZ[Date], YEAR(Processed_CN_SZ[Date])=YEAR(Processed_CN_SZ[[#This Row],[Date]]))), Processed_CN_SZ[Date], Processed_CN_SZ[Value]) - 1</f>
        <v>-8.1633001811408423E-2</v>
      </c>
    </row>
    <row r="73" spans="1:14">
      <c r="A73" s="8">
        <f>rawData_HousePriceIndex_SZ!A73</f>
        <v>45992</v>
      </c>
      <c r="B73" s="22">
        <f>rawData_HousePriceIndex_SZ!B73</f>
        <v>53357</v>
      </c>
      <c r="E73" s="8"/>
      <c r="I73" s="16">
        <f t="shared" ref="I73:I74" si="2">(B73-B72)/B72</f>
        <v>-7.1453824826482578E-3</v>
      </c>
      <c r="J73" s="16">
        <f>(Processed_CN_SZ[[#This Row],[Value]]-B61)/B61</f>
        <v>-8.7898938443392194E-2</v>
      </c>
      <c r="K73" s="7">
        <f>Processed_CN_SZ[[#This Row],[Value]]/B72 * 100</f>
        <v>99.28546175173517</v>
      </c>
      <c r="L73" s="7">
        <f>Processed_CN_SZ[[#This Row],[Value]]/B61 * 100</f>
        <v>91.210106155660782</v>
      </c>
      <c r="M73" cm="1">
        <f t="array" ref="M73">ROUND( Processed_CN_SZ[[#This Row],[Value]] / AVERAGE( _xlfn._xlws.FILTER(Processed_CN_SZ[Value], YEAR(Processed_CN_SZ[Date])=2020) ), 3) * 100</f>
        <v>95.5</v>
      </c>
      <c r="N73" s="16" cm="1">
        <f t="array" ref="N73" xml:space="preserve"> Processed_CN_SZ[[#This Row],[Value]] / _xlfn.XLOOKUP(MIN(_xlfn._xlws.FILTER(Processed_CN_SZ[Date], YEAR(Processed_CN_SZ[Date])=YEAR(Processed_CN_SZ[[#This Row],[Date]]))), Processed_CN_SZ[Date], Processed_CN_SZ[Value]) - 1</f>
        <v>-8.8195085272907536E-2</v>
      </c>
    </row>
    <row r="74" spans="1:14">
      <c r="A74" s="8">
        <f>rawData_HousePriceIndex_SZ!A74</f>
        <v>46023</v>
      </c>
      <c r="B74" s="22">
        <f>rawData_HousePriceIndex_SZ!B74</f>
        <v>53390</v>
      </c>
      <c r="E74" s="8"/>
      <c r="I74" s="16">
        <f t="shared" si="2"/>
        <v>6.1847555147403338E-4</v>
      </c>
      <c r="J74" s="16">
        <f>(Processed_CN_SZ[[#This Row],[Value]]-B62)/B62</f>
        <v>-8.7631156225434909E-2</v>
      </c>
      <c r="K74" s="7">
        <f>Processed_CN_SZ[[#This Row],[Value]]/B73 * 100</f>
        <v>100.06184755514739</v>
      </c>
      <c r="L74" s="7">
        <f>Processed_CN_SZ[[#This Row],[Value]]/B62 * 100</f>
        <v>91.236884377456505</v>
      </c>
      <c r="M74" cm="1">
        <f t="array" ref="M74">ROUND( Processed_CN_SZ[[#This Row],[Value]] / AVERAGE( _xlfn._xlws.FILTER(Processed_CN_SZ[Value], YEAR(Processed_CN_SZ[Date])=2020) ), 3) * 100</f>
        <v>95.6</v>
      </c>
      <c r="N74" s="16" cm="1">
        <f t="array" ref="N74" xml:space="preserve"> Processed_CN_SZ[[#This Row],[Value]] / _xlfn.XLOOKUP(MIN(_xlfn._xlws.FILTER(Processed_CN_SZ[Date], YEAR(Processed_CN_SZ[Date])=YEAR(Processed_CN_SZ[[#This Row],[Date]]))), Processed_CN_SZ[Date], Processed_CN_SZ[Value]) - 1</f>
        <v>0</v>
      </c>
    </row>
    <row r="75" spans="1:14">
      <c r="A75" s="8">
        <f>rawData_HousePriceIndex_SZ!A75</f>
        <v>46054</v>
      </c>
      <c r="B75" s="22">
        <f>rawData_HousePriceIndex_SZ!B75</f>
        <v>53781</v>
      </c>
      <c r="E75" s="8"/>
      <c r="I75" s="16">
        <f t="shared" ref="I75:I78" si="3">(B75-B74)/B74</f>
        <v>7.3234688143847164E-3</v>
      </c>
      <c r="J75" s="16">
        <f>(Processed_CN_SZ[[#This Row],[Value]]-B63)/B63</f>
        <v>-9.2227192168115452E-2</v>
      </c>
      <c r="K75" s="7">
        <f>Processed_CN_SZ[[#This Row],[Value]]/B74 * 100</f>
        <v>100.73234688143846</v>
      </c>
      <c r="L75" s="7">
        <f>Processed_CN_SZ[[#This Row],[Value]]/B63 * 100</f>
        <v>90.777280783188445</v>
      </c>
      <c r="M75" cm="1">
        <f t="array" ref="M75">ROUND( Processed_CN_SZ[[#This Row],[Value]] / AVERAGE( _xlfn._xlws.FILTER(Processed_CN_SZ[Value], YEAR(Processed_CN_SZ[Date])=2020) ), 3) * 100</f>
        <v>96.3</v>
      </c>
      <c r="N75" s="16" cm="1">
        <f t="array" ref="N75" xml:space="preserve"> Processed_CN_SZ[[#This Row],[Value]] / _xlfn.XLOOKUP(MIN(_xlfn._xlws.FILTER(Processed_CN_SZ[Date], YEAR(Processed_CN_SZ[Date])=YEAR(Processed_CN_SZ[[#This Row],[Date]]))), Processed_CN_SZ[Date], Processed_CN_SZ[Value]) - 1</f>
        <v>7.3234688143846149E-3</v>
      </c>
    </row>
    <row r="76" spans="1:14">
      <c r="A76" s="8">
        <f>rawData_HousePriceIndex_SZ!A76</f>
        <v>46082</v>
      </c>
      <c r="B76" s="22">
        <f>rawData_HousePriceIndex_SZ!B76</f>
        <v>53598</v>
      </c>
      <c r="E76" s="8"/>
      <c r="I76" s="16">
        <f t="shared" si="3"/>
        <v>-3.4026886818764993E-3</v>
      </c>
      <c r="J76" s="16">
        <f>(Processed_CN_SZ[[#This Row],[Value]]-B64)/B64</f>
        <v>-8.513979449015123E-2</v>
      </c>
      <c r="K76" s="7">
        <f>Processed_CN_SZ[[#This Row],[Value]]/B75 * 100</f>
        <v>99.65973113181235</v>
      </c>
      <c r="L76" s="7">
        <f>Processed_CN_SZ[[#This Row],[Value]]/B64 * 100</f>
        <v>91.486020550984875</v>
      </c>
      <c r="M76" cm="1">
        <f t="array" ref="M76">ROUND( Processed_CN_SZ[[#This Row],[Value]] / AVERAGE( _xlfn._xlws.FILTER(Processed_CN_SZ[Value], YEAR(Processed_CN_SZ[Date])=2020) ), 3) * 100</f>
        <v>96</v>
      </c>
      <c r="N76" s="16" cm="1">
        <f t="array" ref="N76" xml:space="preserve"> Processed_CN_SZ[[#This Row],[Value]] / _xlfn.XLOOKUP(MIN(_xlfn._xlws.FILTER(Processed_CN_SZ[Date], YEAR(Processed_CN_SZ[Date])=YEAR(Processed_CN_SZ[[#This Row],[Date]]))), Processed_CN_SZ[Date], Processed_CN_SZ[Value]) - 1</f>
        <v>3.8958606480614666E-3</v>
      </c>
    </row>
    <row r="77" spans="1:14">
      <c r="A77" s="8">
        <f>rawData_HousePriceIndex_SZ!A77</f>
        <v>46113</v>
      </c>
      <c r="B77" s="22">
        <f>rawData_HousePriceIndex_SZ!B77</f>
        <v>53066</v>
      </c>
      <c r="E77" s="8"/>
      <c r="I77" s="16">
        <f t="shared" si="3"/>
        <v>-9.925743497891713E-3</v>
      </c>
      <c r="J77" s="16">
        <f>(Processed_CN_SZ[[#This Row],[Value]]-B65)/B65</f>
        <v>-8.2791758849557529E-2</v>
      </c>
      <c r="K77" s="7">
        <f>Processed_CN_SZ[[#This Row],[Value]]/B76 * 100</f>
        <v>99.007425650210834</v>
      </c>
      <c r="L77" s="7">
        <f>Processed_CN_SZ[[#This Row],[Value]]/B65 * 100</f>
        <v>91.720824115044252</v>
      </c>
      <c r="M77" cm="1">
        <f t="array" ref="M77">ROUND( Processed_CN_SZ[[#This Row],[Value]] / AVERAGE( _xlfn._xlws.FILTER(Processed_CN_SZ[Value], YEAR(Processed_CN_SZ[Date])=2020) ), 3) * 100</f>
        <v>95</v>
      </c>
      <c r="N77" s="16" cm="1">
        <f t="array" ref="N77" xml:space="preserve"> Processed_CN_SZ[[#This Row],[Value]] / _xlfn.XLOOKUP(MIN(_xlfn._xlws.FILTER(Processed_CN_SZ[Date], YEAR(Processed_CN_SZ[Date])=YEAR(Processed_CN_SZ[[#This Row],[Date]]))), Processed_CN_SZ[Date], Processed_CN_SZ[Value]) - 1</f>
        <v>-6.0685521633264683E-3</v>
      </c>
    </row>
    <row r="78" spans="1:14">
      <c r="A78" s="8">
        <f>rawData_HousePriceIndex_SZ!A78</f>
        <v>46143</v>
      </c>
      <c r="B78" s="22">
        <f>rawData_HousePriceIndex_SZ!B78</f>
        <v>52386</v>
      </c>
      <c r="E78" s="8"/>
      <c r="I78" s="16">
        <f t="shared" si="3"/>
        <v>-1.2814231334564505E-2</v>
      </c>
      <c r="J78" s="16">
        <f>(Processed_CN_SZ[[#This Row],[Value]]-B66)/B66</f>
        <v>-9.4028327828026906E-2</v>
      </c>
      <c r="K78" s="7">
        <f>Processed_CN_SZ[[#This Row],[Value]]/B77 * 100</f>
        <v>98.718576866543543</v>
      </c>
      <c r="L78" s="7">
        <f>Processed_CN_SZ[[#This Row],[Value]]/B66 * 100</f>
        <v>90.59716721719731</v>
      </c>
      <c r="M78" cm="1">
        <f t="array" ref="M78">ROUND( Processed_CN_SZ[[#This Row],[Value]] / AVERAGE( _xlfn._xlws.FILTER(Processed_CN_SZ[Value], YEAR(Processed_CN_SZ[Date])=2020) ), 3) * 100</f>
        <v>93.8</v>
      </c>
      <c r="N78" s="16" cm="1">
        <f t="array" ref="N78" xml:space="preserve"> Processed_CN_SZ[[#This Row],[Value]] / _xlfn.XLOOKUP(MIN(_xlfn._xlws.FILTER(Processed_CN_SZ[Date], YEAR(Processed_CN_SZ[Date])=YEAR(Processed_CN_SZ[[#This Row],[Date]]))), Processed_CN_SZ[Date], Processed_CN_SZ[Value]) - 1</f>
        <v>-1.8805019666604195E-2</v>
      </c>
    </row>
    <row r="79" spans="1:14">
      <c r="A79" s="8">
        <f>rawData_HousePriceIndex_SZ!A79</f>
        <v>46174</v>
      </c>
      <c r="B79" s="22">
        <f>rawData_HousePriceIndex_SZ!B79</f>
        <v>52253</v>
      </c>
      <c r="E79" s="8"/>
      <c r="I79" s="16">
        <f t="shared" ref="I79" si="4">(B79-B78)/B78</f>
        <v>-2.5388462566334519E-3</v>
      </c>
      <c r="J79" s="16">
        <f>(Processed_CN_SZ[[#This Row],[Value]]-B67)/B67</f>
        <v>-8.2636938202247184E-2</v>
      </c>
      <c r="K79" s="7">
        <f>Processed_CN_SZ[[#This Row],[Value]]/B78 * 100</f>
        <v>99.746115374336654</v>
      </c>
      <c r="L79" s="7">
        <f>Processed_CN_SZ[[#This Row],[Value]]/B67 * 100</f>
        <v>91.736306179775283</v>
      </c>
      <c r="M79" cm="1">
        <f t="array" ref="M79">ROUND( Processed_CN_SZ[[#This Row],[Value]] / AVERAGE( _xlfn._xlws.FILTER(Processed_CN_SZ[Value], YEAR(Processed_CN_SZ[Date])=2020) ), 3) * 100</f>
        <v>93.600000000000009</v>
      </c>
      <c r="N79" s="16" cm="1">
        <f t="array" ref="N79" xml:space="preserve"> Processed_CN_SZ[[#This Row],[Value]] / _xlfn.XLOOKUP(MIN(_xlfn._xlws.FILTER(Processed_CN_SZ[Date], YEAR(Processed_CN_SZ[Date])=YEAR(Processed_CN_SZ[[#This Row],[Date]]))), Processed_CN_SZ[Date], Processed_CN_SZ[Value]) - 1</f>
        <v>-2.1296122869451262E-2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86FB-40B9-A444-B135-8903222623C0}">
  <dimension ref="A1:N77"/>
  <sheetViews>
    <sheetView topLeftCell="A72" workbookViewId="0">
      <selection activeCell="C82" sqref="C82"/>
    </sheetView>
  </sheetViews>
  <sheetFormatPr defaultColWidth="10.78125" defaultRowHeight="27.5"/>
  <cols>
    <col min="1" max="1" width="9.4765625" bestFit="1" customWidth="1"/>
    <col min="2" max="2" width="7.0859375" bestFit="1" customWidth="1"/>
    <col min="3" max="3" width="8.34765625" bestFit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2421875" bestFit="1" customWidth="1"/>
    <col min="10" max="10" width="8.6484375" customWidth="1"/>
    <col min="11" max="11" width="10.390625" style="7" bestFit="1" customWidth="1"/>
    <col min="12" max="12" width="14.171875" style="7" bestFit="1" customWidth="1"/>
    <col min="13" max="13" width="16.8671875" customWidth="1"/>
    <col min="14" max="14" width="10.78125" style="16"/>
  </cols>
  <sheetData>
    <row r="1" spans="1:14">
      <c r="A1" t="s">
        <v>14</v>
      </c>
      <c r="B1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s="7" t="s">
        <v>0</v>
      </c>
      <c r="L1" s="7" t="s">
        <v>1</v>
      </c>
      <c r="M1" t="s">
        <v>41</v>
      </c>
      <c r="N1" s="16" t="s">
        <v>42</v>
      </c>
    </row>
    <row r="2" spans="1:14">
      <c r="A2" s="6">
        <f>rawData_HousePriceIndex_HK!A2</f>
        <v>43831</v>
      </c>
      <c r="B2" s="10">
        <f>rawData_HousePriceIndex_HK!B2</f>
        <v>379.7</v>
      </c>
      <c r="C2" t="s">
        <v>35</v>
      </c>
      <c r="D2" t="s">
        <v>22</v>
      </c>
      <c r="E2" s="8">
        <v>43831</v>
      </c>
      <c r="F2">
        <v>0</v>
      </c>
      <c r="M2" cm="1">
        <f t="array" ref="M2">ROUND( Processed_CN_HK[[#This Row],[Value]] / AVERAGE( _xlfn._xlws.FILTER(Processed_CN_HK[Value], YEAR(Processed_CN_HK[Date])=2020) ), 3) * 100</f>
        <v>99.6</v>
      </c>
      <c r="N2" s="16" cm="1">
        <f t="array" ref="N2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3" spans="1:14">
      <c r="A3" s="6">
        <f>rawData_HousePriceIndex_HK!A3</f>
        <v>43862</v>
      </c>
      <c r="B3" s="10">
        <f>rawData_HousePriceIndex_HK!B3</f>
        <v>373.4</v>
      </c>
      <c r="C3" t="s">
        <v>35</v>
      </c>
      <c r="D3" t="s">
        <v>22</v>
      </c>
      <c r="E3" s="8">
        <v>43862</v>
      </c>
      <c r="F3">
        <v>1</v>
      </c>
      <c r="G3">
        <v>380</v>
      </c>
      <c r="I3" s="16">
        <f>(B3-B2)/B2</f>
        <v>-1.659204635238349E-2</v>
      </c>
      <c r="K3" s="7">
        <f>Processed_CN_HK[[#This Row],[Value]]/B2 * 100</f>
        <v>98.340795364761647</v>
      </c>
      <c r="M3" cm="1">
        <f t="array" ref="M3">ROUND( Processed_CN_HK[[#This Row],[Value]] / AVERAGE( _xlfn._xlws.FILTER(Processed_CN_HK[Value], YEAR(Processed_CN_HK[Date])=2020) ), 3) * 100</f>
        <v>98</v>
      </c>
      <c r="N3" s="16" cm="1">
        <f t="array" ref="N3" xml:space="preserve"> Processed_CN_HK[[#This Row],[Value]] / _xlfn.XLOOKUP(MIN(_xlfn._xlws.FILTER(Processed_CN_HK[Date], YEAR(Processed_CN_HK[Date])=YEAR(Processed_CN_HK[[#This Row],[Date]]))), Processed_CN_HK[Date], Processed_CN_HK[Value]) - 1</f>
        <v>-1.6592046352383538E-2</v>
      </c>
    </row>
    <row r="4" spans="1:14">
      <c r="A4" s="6">
        <f>rawData_HousePriceIndex_HK!A4</f>
        <v>43891</v>
      </c>
      <c r="B4" s="10">
        <f>rawData_HousePriceIndex_HK!B4</f>
        <v>378.4</v>
      </c>
      <c r="C4" t="s">
        <v>35</v>
      </c>
      <c r="D4" t="s">
        <v>22</v>
      </c>
      <c r="E4" s="8">
        <v>43891</v>
      </c>
      <c r="F4">
        <v>2</v>
      </c>
      <c r="G4">
        <v>373</v>
      </c>
      <c r="I4" s="16">
        <f t="shared" ref="I4:I67" si="0">(B4-B3)/B3</f>
        <v>1.3390465988216391E-2</v>
      </c>
      <c r="K4" s="7">
        <f>Processed_CN_HK[[#This Row],[Value]]/B3 * 100</f>
        <v>101.33904659882165</v>
      </c>
      <c r="M4" cm="1">
        <f t="array" ref="M4">ROUND( Processed_CN_HK[[#This Row],[Value]] / AVERAGE( _xlfn._xlws.FILTER(Processed_CN_HK[Value], YEAR(Processed_CN_HK[Date])=2020) ), 3) * 100</f>
        <v>99.3</v>
      </c>
      <c r="N4" s="16" cm="1">
        <f t="array" ref="N4" xml:space="preserve"> Processed_CN_HK[[#This Row],[Value]] / _xlfn.XLOOKUP(MIN(_xlfn._xlws.FILTER(Processed_CN_HK[Date], YEAR(Processed_CN_HK[Date])=YEAR(Processed_CN_HK[[#This Row],[Date]]))), Processed_CN_HK[Date], Processed_CN_HK[Value]) - 1</f>
        <v>-3.4237555965236366E-3</v>
      </c>
    </row>
    <row r="5" spans="1:14">
      <c r="A5" s="6">
        <f>rawData_HousePriceIndex_HK!A5</f>
        <v>43922</v>
      </c>
      <c r="B5" s="10">
        <f>rawData_HousePriceIndex_HK!B5</f>
        <v>377.5</v>
      </c>
      <c r="C5" t="s">
        <v>35</v>
      </c>
      <c r="D5" t="s">
        <v>22</v>
      </c>
      <c r="E5" s="8">
        <v>43922</v>
      </c>
      <c r="F5">
        <v>3</v>
      </c>
      <c r="G5">
        <v>378</v>
      </c>
      <c r="I5" s="16">
        <f t="shared" si="0"/>
        <v>-2.3784355179703419E-3</v>
      </c>
      <c r="K5" s="7">
        <f>Processed_CN_HK[[#This Row],[Value]]/B4 * 100</f>
        <v>99.762156448202973</v>
      </c>
      <c r="M5" cm="1">
        <f t="array" ref="M5">ROUND( Processed_CN_HK[[#This Row],[Value]] / AVERAGE( _xlfn._xlws.FILTER(Processed_CN_HK[Value], YEAR(Processed_CN_HK[Date])=2020) ), 3) * 100</f>
        <v>99</v>
      </c>
      <c r="N5" s="16" cm="1">
        <f t="array" ref="N5" xml:space="preserve"> Processed_CN_HK[[#This Row],[Value]] / _xlfn.XLOOKUP(MIN(_xlfn._xlws.FILTER(Processed_CN_HK[Date], YEAR(Processed_CN_HK[Date])=YEAR(Processed_CN_HK[[#This Row],[Date]]))), Processed_CN_HK[Date], Processed_CN_HK[Value]) - 1</f>
        <v>-5.7940479325783167E-3</v>
      </c>
    </row>
    <row r="6" spans="1:14">
      <c r="A6" s="6">
        <f>rawData_HousePriceIndex_HK!A6</f>
        <v>43952</v>
      </c>
      <c r="B6" s="10">
        <f>rawData_HousePriceIndex_HK!B6</f>
        <v>386.1</v>
      </c>
      <c r="C6" t="s">
        <v>35</v>
      </c>
      <c r="D6" t="s">
        <v>22</v>
      </c>
      <c r="E6" s="8">
        <v>43952</v>
      </c>
      <c r="F6">
        <v>4</v>
      </c>
      <c r="G6">
        <v>378</v>
      </c>
      <c r="I6" s="16">
        <f t="shared" si="0"/>
        <v>2.2781456953642445E-2</v>
      </c>
      <c r="K6" s="7">
        <f>Processed_CN_HK[[#This Row],[Value]]/B5 * 100</f>
        <v>102.27814569536424</v>
      </c>
      <c r="M6" cm="1">
        <f t="array" ref="M6">ROUND( Processed_CN_HK[[#This Row],[Value]] / AVERAGE( _xlfn._xlws.FILTER(Processed_CN_HK[Value], YEAR(Processed_CN_HK[Date])=2020) ), 3) * 100</f>
        <v>101.29999999999998</v>
      </c>
      <c r="N6" s="16" cm="1">
        <f t="array" ref="N6" xml:space="preserve"> Processed_CN_HK[[#This Row],[Value]] / _xlfn.XLOOKUP(MIN(_xlfn._xlws.FILTER(Processed_CN_HK[Date], YEAR(Processed_CN_HK[Date])=YEAR(Processed_CN_HK[[#This Row],[Date]]))), Processed_CN_HK[Date], Processed_CN_HK[Value]) - 1</f>
        <v>1.6855412167500639E-2</v>
      </c>
    </row>
    <row r="7" spans="1:14">
      <c r="A7" s="6">
        <f>rawData_HousePriceIndex_HK!A7</f>
        <v>43983</v>
      </c>
      <c r="B7" s="10">
        <f>rawData_HousePriceIndex_HK!B7</f>
        <v>386.7</v>
      </c>
      <c r="C7" t="s">
        <v>35</v>
      </c>
      <c r="D7" t="s">
        <v>22</v>
      </c>
      <c r="E7" s="8">
        <v>43983</v>
      </c>
      <c r="F7">
        <v>5</v>
      </c>
      <c r="G7">
        <v>386</v>
      </c>
      <c r="I7" s="16">
        <f t="shared" si="0"/>
        <v>1.5540015540014655E-3</v>
      </c>
      <c r="K7" s="7">
        <f>Processed_CN_HK[[#This Row],[Value]]/B6 * 100</f>
        <v>100.15540015540014</v>
      </c>
      <c r="M7" cm="1">
        <f t="array" ref="M7">ROUND( Processed_CN_HK[[#This Row],[Value]] / AVERAGE( _xlfn._xlws.FILTER(Processed_CN_HK[Value], YEAR(Processed_CN_HK[Date])=2020) ), 3) * 100</f>
        <v>101.4</v>
      </c>
      <c r="N7" s="16" cm="1">
        <f t="array" ref="N7" xml:space="preserve"> Processed_CN_HK[[#This Row],[Value]] / _xlfn.XLOOKUP(MIN(_xlfn._xlws.FILTER(Processed_CN_HK[Date], YEAR(Processed_CN_HK[Date])=YEAR(Processed_CN_HK[[#This Row],[Date]]))), Processed_CN_HK[Date], Processed_CN_HK[Value]) - 1</f>
        <v>1.8435607058203907E-2</v>
      </c>
    </row>
    <row r="8" spans="1:14">
      <c r="A8" s="6">
        <f>rawData_HousePriceIndex_HK!A8</f>
        <v>44013</v>
      </c>
      <c r="B8" s="10">
        <f>rawData_HousePriceIndex_HK!B8</f>
        <v>385.4</v>
      </c>
      <c r="C8" t="s">
        <v>35</v>
      </c>
      <c r="D8" t="s">
        <v>22</v>
      </c>
      <c r="E8" s="8">
        <v>44013</v>
      </c>
      <c r="F8">
        <v>6</v>
      </c>
      <c r="G8">
        <v>387</v>
      </c>
      <c r="I8" s="16">
        <f t="shared" si="0"/>
        <v>-3.3617791569692562E-3</v>
      </c>
      <c r="K8" s="7">
        <f>Processed_CN_HK[[#This Row],[Value]]/B7 * 100</f>
        <v>99.663822084303078</v>
      </c>
      <c r="M8" cm="1">
        <f t="array" ref="M8">ROUND( Processed_CN_HK[[#This Row],[Value]] / AVERAGE( _xlfn._xlws.FILTER(Processed_CN_HK[Value], YEAR(Processed_CN_HK[Date])=2020) ), 3) * 100</f>
        <v>101.1</v>
      </c>
      <c r="N8" s="16" cm="1">
        <f t="array" ref="N8" xml:space="preserve"> Processed_CN_HK[[#This Row],[Value]] / _xlfn.XLOOKUP(MIN(_xlfn._xlws.FILTER(Processed_CN_HK[Date], YEAR(Processed_CN_HK[Date])=YEAR(Processed_CN_HK[[#This Row],[Date]]))), Processed_CN_HK[Date], Processed_CN_HK[Value]) - 1</f>
        <v>1.5011851461680159E-2</v>
      </c>
    </row>
    <row r="9" spans="1:14">
      <c r="A9" s="6">
        <f>rawData_HousePriceIndex_HK!A9</f>
        <v>44044</v>
      </c>
      <c r="B9" s="10">
        <f>rawData_HousePriceIndex_HK!B9</f>
        <v>382</v>
      </c>
      <c r="C9" t="s">
        <v>35</v>
      </c>
      <c r="D9" t="s">
        <v>22</v>
      </c>
      <c r="E9" s="8">
        <v>44044</v>
      </c>
      <c r="F9">
        <v>7</v>
      </c>
      <c r="G9">
        <v>385</v>
      </c>
      <c r="I9" s="16">
        <f t="shared" si="0"/>
        <v>-8.8220031136480997E-3</v>
      </c>
      <c r="K9" s="7">
        <f>Processed_CN_HK[[#This Row],[Value]]/B8 * 100</f>
        <v>99.117799688635188</v>
      </c>
      <c r="M9" cm="1">
        <f t="array" ref="M9">ROUND( Processed_CN_HK[[#This Row],[Value]] / AVERAGE( _xlfn._xlws.FILTER(Processed_CN_HK[Value], YEAR(Processed_CN_HK[Date])=2020) ), 3) * 100</f>
        <v>100.2</v>
      </c>
      <c r="N9" s="16" cm="1">
        <f t="array" ref="N9" xml:space="preserve"> Processed_CN_HK[[#This Row],[Value]] / _xlfn.XLOOKUP(MIN(_xlfn._xlws.FILTER(Processed_CN_HK[Date], YEAR(Processed_CN_HK[Date])=YEAR(Processed_CN_HK[[#This Row],[Date]]))), Processed_CN_HK[Date], Processed_CN_HK[Value]) - 1</f>
        <v>6.0574137476956391E-3</v>
      </c>
    </row>
    <row r="10" spans="1:14">
      <c r="A10" s="6">
        <f>rawData_HousePriceIndex_HK!A10</f>
        <v>44075</v>
      </c>
      <c r="B10" s="10">
        <f>rawData_HousePriceIndex_HK!B10</f>
        <v>383.1</v>
      </c>
      <c r="C10" t="s">
        <v>35</v>
      </c>
      <c r="D10" t="s">
        <v>22</v>
      </c>
      <c r="E10" s="8">
        <v>44075</v>
      </c>
      <c r="F10">
        <v>8</v>
      </c>
      <c r="G10">
        <v>382</v>
      </c>
      <c r="I10" s="16">
        <f t="shared" si="0"/>
        <v>2.8795811518325201E-3</v>
      </c>
      <c r="K10" s="7">
        <f>Processed_CN_HK[[#This Row],[Value]]/B9 * 100</f>
        <v>100.28795811518324</v>
      </c>
      <c r="M10" cm="1">
        <f t="array" ref="M10">ROUND( Processed_CN_HK[[#This Row],[Value]] / AVERAGE( _xlfn._xlws.FILTER(Processed_CN_HK[Value], YEAR(Processed_CN_HK[Date])=2020) ), 3) * 100</f>
        <v>100.49999999999999</v>
      </c>
      <c r="N10" s="16" cm="1">
        <f t="array" ref="N10" xml:space="preserve"> Processed_CN_HK[[#This Row],[Value]] / _xlfn.XLOOKUP(MIN(_xlfn._xlws.FILTER(Processed_CN_HK[Date], YEAR(Processed_CN_HK[Date])=YEAR(Processed_CN_HK[[#This Row],[Date]]))), Processed_CN_HK[Date], Processed_CN_HK[Value]) - 1</f>
        <v>8.954437713984742E-3</v>
      </c>
    </row>
    <row r="11" spans="1:14">
      <c r="A11" s="6">
        <f>rawData_HousePriceIndex_HK!A11</f>
        <v>44105</v>
      </c>
      <c r="B11" s="10">
        <f>rawData_HousePriceIndex_HK!B11</f>
        <v>381.3</v>
      </c>
      <c r="C11" t="s">
        <v>35</v>
      </c>
      <c r="D11" t="s">
        <v>22</v>
      </c>
      <c r="E11" s="8">
        <v>44105</v>
      </c>
      <c r="F11">
        <v>9</v>
      </c>
      <c r="G11">
        <v>383</v>
      </c>
      <c r="I11" s="16">
        <f t="shared" si="0"/>
        <v>-4.6985121378230518E-3</v>
      </c>
      <c r="K11" s="7">
        <f>Processed_CN_HK[[#This Row],[Value]]/B10 * 100</f>
        <v>99.530148786217694</v>
      </c>
      <c r="M11" cm="1">
        <f t="array" ref="M11">ROUND( Processed_CN_HK[[#This Row],[Value]] / AVERAGE( _xlfn._xlws.FILTER(Processed_CN_HK[Value], YEAR(Processed_CN_HK[Date])=2020) ), 3) * 100</f>
        <v>100</v>
      </c>
      <c r="N11" s="16" cm="1">
        <f t="array" ref="N11" xml:space="preserve"> Processed_CN_HK[[#This Row],[Value]] / _xlfn.XLOOKUP(MIN(_xlfn._xlws.FILTER(Processed_CN_HK[Date], YEAR(Processed_CN_HK[Date])=YEAR(Processed_CN_HK[[#This Row],[Date]]))), Processed_CN_HK[Date], Processed_CN_HK[Value]) - 1</f>
        <v>4.2138530418751596E-3</v>
      </c>
    </row>
    <row r="12" spans="1:14">
      <c r="A12" s="6">
        <f>rawData_HousePriceIndex_HK!A12</f>
        <v>44136</v>
      </c>
      <c r="B12" s="10">
        <f>rawData_HousePriceIndex_HK!B12</f>
        <v>380.6</v>
      </c>
      <c r="C12" t="s">
        <v>35</v>
      </c>
      <c r="D12" t="s">
        <v>22</v>
      </c>
      <c r="E12" s="8">
        <v>44136</v>
      </c>
      <c r="F12">
        <v>10</v>
      </c>
      <c r="G12">
        <v>381</v>
      </c>
      <c r="I12" s="16">
        <f t="shared" si="0"/>
        <v>-1.8358248098609719E-3</v>
      </c>
      <c r="K12" s="7">
        <f>Processed_CN_HK[[#This Row],[Value]]/B11 * 100</f>
        <v>99.816417519013896</v>
      </c>
      <c r="M12" cm="1">
        <f t="array" ref="M12">ROUND( Processed_CN_HK[[#This Row],[Value]] / AVERAGE( _xlfn._xlws.FILTER(Processed_CN_HK[Value], YEAR(Processed_CN_HK[Date])=2020) ), 3) * 100</f>
        <v>99.8</v>
      </c>
      <c r="N12" s="16" cm="1">
        <f t="array" ref="N12" xml:space="preserve"> Processed_CN_HK[[#This Row],[Value]] / _xlfn.XLOOKUP(MIN(_xlfn._xlws.FILTER(Processed_CN_HK[Date], YEAR(Processed_CN_HK[Date])=YEAR(Processed_CN_HK[[#This Row],[Date]]))), Processed_CN_HK[Date], Processed_CN_HK[Value]) - 1</f>
        <v>2.3702923360549022E-3</v>
      </c>
    </row>
    <row r="13" spans="1:14">
      <c r="A13" s="6">
        <f>rawData_HousePriceIndex_HK!A13</f>
        <v>44166</v>
      </c>
      <c r="B13" s="10">
        <f>rawData_HousePriceIndex_HK!B13</f>
        <v>379.9</v>
      </c>
      <c r="C13" t="s">
        <v>35</v>
      </c>
      <c r="D13" t="s">
        <v>22</v>
      </c>
      <c r="E13" s="8">
        <v>44166</v>
      </c>
      <c r="F13">
        <v>11</v>
      </c>
      <c r="G13">
        <v>381</v>
      </c>
      <c r="I13" s="16">
        <f t="shared" si="0"/>
        <v>-1.8392012611666985E-3</v>
      </c>
      <c r="K13" s="7">
        <f>Processed_CN_HK[[#This Row],[Value]]/B12 * 100</f>
        <v>99.816079873883339</v>
      </c>
      <c r="M13" cm="1">
        <f t="array" ref="M13">ROUND( Processed_CN_HK[[#This Row],[Value]] / AVERAGE( _xlfn._xlws.FILTER(Processed_CN_HK[Value], YEAR(Processed_CN_HK[Date])=2020) ), 3) * 100</f>
        <v>99.7</v>
      </c>
      <c r="N13" s="16" cm="1">
        <f t="array" ref="N13" xml:space="preserve"> Processed_CN_HK[[#This Row],[Value]] / _xlfn.XLOOKUP(MIN(_xlfn._xlws.FILTER(Processed_CN_HK[Date], YEAR(Processed_CN_HK[Date])=YEAR(Processed_CN_HK[[#This Row],[Date]]))), Processed_CN_HK[Date], Processed_CN_HK[Value]) - 1</f>
        <v>5.2673163023442271E-4</v>
      </c>
    </row>
    <row r="14" spans="1:14">
      <c r="A14" s="6">
        <f>rawData_HousePriceIndex_HK!A14</f>
        <v>44197</v>
      </c>
      <c r="B14" s="10">
        <f>rawData_HousePriceIndex_HK!B14</f>
        <v>381.9</v>
      </c>
      <c r="C14" t="s">
        <v>35</v>
      </c>
      <c r="D14" t="s">
        <v>22</v>
      </c>
      <c r="E14" s="8">
        <v>44197</v>
      </c>
      <c r="F14">
        <v>12</v>
      </c>
      <c r="G14">
        <v>380</v>
      </c>
      <c r="H14">
        <v>380</v>
      </c>
      <c r="I14" s="16">
        <f t="shared" si="0"/>
        <v>5.2645433008686503E-3</v>
      </c>
      <c r="J14" s="16">
        <f>(Processed_CN_HK[[#This Row],[Value]]-B2)/B2</f>
        <v>5.7940479325783219E-3</v>
      </c>
      <c r="K14" s="7">
        <f>Processed_CN_HK[[#This Row],[Value]]/B13 * 100</f>
        <v>100.52645433008686</v>
      </c>
      <c r="L14" s="7">
        <f>Processed_CN_HK[[#This Row],[Value]]/B2 * 100</f>
        <v>100.57940479325784</v>
      </c>
      <c r="M14" cm="1">
        <f t="array" ref="M14">ROUND( Processed_CN_HK[[#This Row],[Value]] / AVERAGE( _xlfn._xlws.FILTER(Processed_CN_HK[Value], YEAR(Processed_CN_HK[Date])=2020) ), 3) * 100</f>
        <v>100.2</v>
      </c>
      <c r="N14" s="16" cm="1">
        <f t="array" ref="N14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15" spans="1:14">
      <c r="A15" s="6">
        <f>rawData_HousePriceIndex_HK!A15</f>
        <v>44228</v>
      </c>
      <c r="B15" s="10">
        <f>rawData_HousePriceIndex_HK!B15</f>
        <v>384.9</v>
      </c>
      <c r="C15" t="s">
        <v>35</v>
      </c>
      <c r="D15" t="s">
        <v>22</v>
      </c>
      <c r="E15" s="8">
        <v>44228</v>
      </c>
      <c r="F15">
        <v>13</v>
      </c>
      <c r="G15">
        <v>382</v>
      </c>
      <c r="H15">
        <v>373</v>
      </c>
      <c r="I15" s="16">
        <f t="shared" si="0"/>
        <v>7.8554595443833461E-3</v>
      </c>
      <c r="J15" s="16">
        <f>(Processed_CN_HK[[#This Row],[Value]]-B3)/B3</f>
        <v>3.0798071772897697E-2</v>
      </c>
      <c r="K15" s="7">
        <f>Processed_CN_HK[[#This Row],[Value]]/B14 * 100</f>
        <v>100.78554595443833</v>
      </c>
      <c r="L15" s="7">
        <f>Processed_CN_HK[[#This Row],[Value]]/B3 * 100</f>
        <v>103.07980717728978</v>
      </c>
      <c r="M15" cm="1">
        <f t="array" ref="M15">ROUND( Processed_CN_HK[[#This Row],[Value]] / AVERAGE( _xlfn._xlws.FILTER(Processed_CN_HK[Value], YEAR(Processed_CN_HK[Date])=2020) ), 3) * 100</f>
        <v>101</v>
      </c>
      <c r="N15" s="16" cm="1">
        <f t="array" ref="N15" xml:space="preserve"> Processed_CN_HK[[#This Row],[Value]] / _xlfn.XLOOKUP(MIN(_xlfn._xlws.FILTER(Processed_CN_HK[Date], YEAR(Processed_CN_HK[Date])=YEAR(Processed_CN_HK[[#This Row],[Date]]))), Processed_CN_HK[Date], Processed_CN_HK[Value]) - 1</f>
        <v>7.8554595443833808E-3</v>
      </c>
    </row>
    <row r="16" spans="1:14">
      <c r="A16" s="6">
        <f>rawData_HousePriceIndex_HK!A16</f>
        <v>44256</v>
      </c>
      <c r="B16" s="10">
        <f>rawData_HousePriceIndex_HK!B16</f>
        <v>389.6</v>
      </c>
      <c r="C16" t="s">
        <v>35</v>
      </c>
      <c r="D16" t="s">
        <v>22</v>
      </c>
      <c r="E16" s="8">
        <v>44256</v>
      </c>
      <c r="F16">
        <v>14</v>
      </c>
      <c r="G16">
        <v>385</v>
      </c>
      <c r="H16">
        <v>378</v>
      </c>
      <c r="I16" s="16">
        <f t="shared" si="0"/>
        <v>1.2210963886723943E-2</v>
      </c>
      <c r="J16" s="16">
        <f>(Processed_CN_HK[[#This Row],[Value]]-B4)/B4</f>
        <v>2.9598308668076233E-2</v>
      </c>
      <c r="K16" s="7">
        <f>Processed_CN_HK[[#This Row],[Value]]/B15 * 100</f>
        <v>101.22109638867241</v>
      </c>
      <c r="L16" s="7">
        <f>Processed_CN_HK[[#This Row],[Value]]/B4 * 100</f>
        <v>102.95983086680762</v>
      </c>
      <c r="M16" cm="1">
        <f t="array" ref="M16">ROUND( Processed_CN_HK[[#This Row],[Value]] / AVERAGE( _xlfn._xlws.FILTER(Processed_CN_HK[Value], YEAR(Processed_CN_HK[Date])=2020) ), 3) * 100</f>
        <v>102.2</v>
      </c>
      <c r="N16" s="16" cm="1">
        <f t="array" ref="N16" xml:space="preserve"> Processed_CN_HK[[#This Row],[Value]] / _xlfn.XLOOKUP(MIN(_xlfn._xlws.FILTER(Processed_CN_HK[Date], YEAR(Processed_CN_HK[Date])=YEAR(Processed_CN_HK[[#This Row],[Date]]))), Processed_CN_HK[Date], Processed_CN_HK[Value]) - 1</f>
        <v>2.0162346163917322E-2</v>
      </c>
    </row>
    <row r="17" spans="1:14">
      <c r="A17" s="6">
        <f>rawData_HousePriceIndex_HK!A17</f>
        <v>44287</v>
      </c>
      <c r="B17" s="10">
        <f>rawData_HousePriceIndex_HK!B17</f>
        <v>391</v>
      </c>
      <c r="C17" t="s">
        <v>35</v>
      </c>
      <c r="D17" t="s">
        <v>22</v>
      </c>
      <c r="E17" s="8">
        <v>44287</v>
      </c>
      <c r="F17">
        <v>15</v>
      </c>
      <c r="G17">
        <v>390</v>
      </c>
      <c r="H17">
        <v>378</v>
      </c>
      <c r="I17" s="16">
        <f t="shared" si="0"/>
        <v>3.5934291581108243E-3</v>
      </c>
      <c r="J17" s="16">
        <f>(Processed_CN_HK[[#This Row],[Value]]-B5)/B5</f>
        <v>3.5761589403973511E-2</v>
      </c>
      <c r="K17" s="7">
        <f>Processed_CN_HK[[#This Row],[Value]]/B16 * 100</f>
        <v>100.35934291581108</v>
      </c>
      <c r="L17" s="7">
        <f>Processed_CN_HK[[#This Row],[Value]]/B5 * 100</f>
        <v>103.57615894039736</v>
      </c>
      <c r="M17" cm="1">
        <f t="array" ref="M17">ROUND( Processed_CN_HK[[#This Row],[Value]] / AVERAGE( _xlfn._xlws.FILTER(Processed_CN_HK[Value], YEAR(Processed_CN_HK[Date])=2020) ), 3) * 100</f>
        <v>102.60000000000001</v>
      </c>
      <c r="N17" s="16" cm="1">
        <f t="array" ref="N17" xml:space="preserve"> Processed_CN_HK[[#This Row],[Value]] / _xlfn.XLOOKUP(MIN(_xlfn._xlws.FILTER(Processed_CN_HK[Date], YEAR(Processed_CN_HK[Date])=YEAR(Processed_CN_HK[[#This Row],[Date]]))), Processed_CN_HK[Date], Processed_CN_HK[Value]) - 1</f>
        <v>2.3828227284629522E-2</v>
      </c>
    </row>
    <row r="18" spans="1:14">
      <c r="A18" s="6">
        <f>rawData_HousePriceIndex_HK!A18</f>
        <v>44317</v>
      </c>
      <c r="B18" s="10">
        <f>rawData_HousePriceIndex_HK!B18</f>
        <v>393.9</v>
      </c>
      <c r="C18" t="s">
        <v>35</v>
      </c>
      <c r="D18" t="s">
        <v>22</v>
      </c>
      <c r="E18" s="8">
        <v>44317</v>
      </c>
      <c r="F18">
        <v>16</v>
      </c>
      <c r="G18">
        <v>391</v>
      </c>
      <c r="H18">
        <v>386</v>
      </c>
      <c r="I18" s="16">
        <f t="shared" si="0"/>
        <v>7.4168797953963611E-3</v>
      </c>
      <c r="J18" s="16">
        <f>(Processed_CN_HK[[#This Row],[Value]]-B6)/B6</f>
        <v>2.0202020202020082E-2</v>
      </c>
      <c r="K18" s="7">
        <f>Processed_CN_HK[[#This Row],[Value]]/B17 * 100</f>
        <v>100.74168797953963</v>
      </c>
      <c r="L18" s="7">
        <f>Processed_CN_HK[[#This Row],[Value]]/B6 * 100</f>
        <v>102.02020202020201</v>
      </c>
      <c r="M18" cm="1">
        <f t="array" ref="M18">ROUND( Processed_CN_HK[[#This Row],[Value]] / AVERAGE( _xlfn._xlws.FILTER(Processed_CN_HK[Value], YEAR(Processed_CN_HK[Date])=2020) ), 3) * 100</f>
        <v>103.3</v>
      </c>
      <c r="N18" s="16" cm="1">
        <f t="array" ref="N18" xml:space="preserve"> Processed_CN_HK[[#This Row],[Value]] / _xlfn.XLOOKUP(MIN(_xlfn._xlws.FILTER(Processed_CN_HK[Date], YEAR(Processed_CN_HK[Date])=YEAR(Processed_CN_HK[[#This Row],[Date]]))), Processed_CN_HK[Date], Processed_CN_HK[Value]) - 1</f>
        <v>3.1421838177533301E-2</v>
      </c>
    </row>
    <row r="19" spans="1:14">
      <c r="A19" s="6">
        <f>rawData_HousePriceIndex_HK!A19</f>
        <v>44348</v>
      </c>
      <c r="B19" s="10">
        <f>rawData_HousePriceIndex_HK!B19</f>
        <v>394</v>
      </c>
      <c r="C19" t="s">
        <v>35</v>
      </c>
      <c r="D19" t="s">
        <v>22</v>
      </c>
      <c r="E19" s="8">
        <v>44348</v>
      </c>
      <c r="F19">
        <v>17</v>
      </c>
      <c r="G19">
        <v>394</v>
      </c>
      <c r="H19">
        <v>387</v>
      </c>
      <c r="I19" s="16">
        <f t="shared" si="0"/>
        <v>2.5387154100031163E-4</v>
      </c>
      <c r="J19" s="16">
        <f>(Processed_CN_HK[[#This Row],[Value]]-B7)/B7</f>
        <v>1.8877682958365689E-2</v>
      </c>
      <c r="K19" s="7">
        <f>Processed_CN_HK[[#This Row],[Value]]/B18 * 100</f>
        <v>100.02538715410003</v>
      </c>
      <c r="L19" s="7">
        <f>Processed_CN_HK[[#This Row],[Value]]/B7 * 100</f>
        <v>101.88776829583657</v>
      </c>
      <c r="M19" cm="1">
        <f t="array" ref="M19">ROUND( Processed_CN_HK[[#This Row],[Value]] / AVERAGE( _xlfn._xlws.FILTER(Processed_CN_HK[Value], YEAR(Processed_CN_HK[Date])=2020) ), 3) * 100</f>
        <v>103.4</v>
      </c>
      <c r="N19" s="16" cm="1">
        <f t="array" ref="N19" xml:space="preserve"> Processed_CN_HK[[#This Row],[Value]] / _xlfn.XLOOKUP(MIN(_xlfn._xlws.FILTER(Processed_CN_HK[Date], YEAR(Processed_CN_HK[Date])=YEAR(Processed_CN_HK[[#This Row],[Date]]))), Processed_CN_HK[Date], Processed_CN_HK[Value]) - 1</f>
        <v>3.1683686829012903E-2</v>
      </c>
    </row>
    <row r="20" spans="1:14">
      <c r="A20" s="6">
        <f>rawData_HousePriceIndex_HK!A20</f>
        <v>44378</v>
      </c>
      <c r="B20" s="10">
        <f>rawData_HousePriceIndex_HK!B20</f>
        <v>398</v>
      </c>
      <c r="C20" t="s">
        <v>35</v>
      </c>
      <c r="D20" t="s">
        <v>22</v>
      </c>
      <c r="E20" s="8">
        <v>44378</v>
      </c>
      <c r="F20">
        <v>18</v>
      </c>
      <c r="G20">
        <v>394</v>
      </c>
      <c r="H20">
        <v>385</v>
      </c>
      <c r="I20" s="16">
        <f t="shared" si="0"/>
        <v>1.015228426395939E-2</v>
      </c>
      <c r="J20" s="16">
        <f>(Processed_CN_HK[[#This Row],[Value]]-B8)/B8</f>
        <v>3.2693305656460878E-2</v>
      </c>
      <c r="K20" s="7">
        <f>Processed_CN_HK[[#This Row],[Value]]/B19 * 100</f>
        <v>101.01522842639594</v>
      </c>
      <c r="L20" s="7">
        <f>Processed_CN_HK[[#This Row],[Value]]/B8 * 100</f>
        <v>103.26933056564609</v>
      </c>
      <c r="M20" cm="1">
        <f t="array" ref="M20">ROUND( Processed_CN_HK[[#This Row],[Value]] / AVERAGE( _xlfn._xlws.FILTER(Processed_CN_HK[Value], YEAR(Processed_CN_HK[Date])=2020) ), 3) * 100</f>
        <v>104.4</v>
      </c>
      <c r="N20" s="16" cm="1">
        <f t="array" ref="N20" xml:space="preserve"> Processed_CN_HK[[#This Row],[Value]] / _xlfn.XLOOKUP(MIN(_xlfn._xlws.FILTER(Processed_CN_HK[Date], YEAR(Processed_CN_HK[Date])=YEAR(Processed_CN_HK[[#This Row],[Date]]))), Processed_CN_HK[Date], Processed_CN_HK[Value]) - 1</f>
        <v>4.2157632888190744E-2</v>
      </c>
    </row>
    <row r="21" spans="1:14">
      <c r="A21" s="6">
        <f>rawData_HousePriceIndex_HK!A21</f>
        <v>44409</v>
      </c>
      <c r="B21" s="10">
        <f>rawData_HousePriceIndex_HK!B21</f>
        <v>397.5</v>
      </c>
      <c r="C21" t="s">
        <v>35</v>
      </c>
      <c r="D21" t="s">
        <v>22</v>
      </c>
      <c r="E21" s="8">
        <v>44409</v>
      </c>
      <c r="F21">
        <v>19</v>
      </c>
      <c r="G21">
        <v>398</v>
      </c>
      <c r="H21">
        <v>382</v>
      </c>
      <c r="I21" s="16">
        <f t="shared" si="0"/>
        <v>-1.2562814070351759E-3</v>
      </c>
      <c r="J21" s="16">
        <f>(Processed_CN_HK[[#This Row],[Value]]-B9)/B9</f>
        <v>4.0575916230366493E-2</v>
      </c>
      <c r="K21" s="7">
        <f>Processed_CN_HK[[#This Row],[Value]]/B20 * 100</f>
        <v>99.874371859296488</v>
      </c>
      <c r="L21" s="7">
        <f>Processed_CN_HK[[#This Row],[Value]]/B9 * 100</f>
        <v>104.05759162303664</v>
      </c>
      <c r="M21" cm="1">
        <f t="array" ref="M21">ROUND( Processed_CN_HK[[#This Row],[Value]] / AVERAGE( _xlfn._xlws.FILTER(Processed_CN_HK[Value], YEAR(Processed_CN_HK[Date])=2020) ), 3) * 100</f>
        <v>104.3</v>
      </c>
      <c r="N21" s="16" cm="1">
        <f t="array" ref="N21" xml:space="preserve"> Processed_CN_HK[[#This Row],[Value]] / _xlfn.XLOOKUP(MIN(_xlfn._xlws.FILTER(Processed_CN_HK[Date], YEAR(Processed_CN_HK[Date])=YEAR(Processed_CN_HK[[#This Row],[Date]]))), Processed_CN_HK[Date], Processed_CN_HK[Value]) - 1</f>
        <v>4.0848389630793402E-2</v>
      </c>
    </row>
    <row r="22" spans="1:14">
      <c r="A22" s="6">
        <f>rawData_HousePriceIndex_HK!A22</f>
        <v>44440</v>
      </c>
      <c r="B22" s="10">
        <f>rawData_HousePriceIndex_HK!B22</f>
        <v>398.1</v>
      </c>
      <c r="C22" t="s">
        <v>35</v>
      </c>
      <c r="D22" t="s">
        <v>22</v>
      </c>
      <c r="E22" s="8">
        <v>44440</v>
      </c>
      <c r="F22">
        <v>20</v>
      </c>
      <c r="G22">
        <v>398</v>
      </c>
      <c r="H22">
        <v>383</v>
      </c>
      <c r="I22" s="16">
        <f t="shared" si="0"/>
        <v>1.5094339622642081E-3</v>
      </c>
      <c r="J22" s="16">
        <f>(Processed_CN_HK[[#This Row],[Value]]-B10)/B10</f>
        <v>3.9154267815191851E-2</v>
      </c>
      <c r="K22" s="7">
        <f>Processed_CN_HK[[#This Row],[Value]]/B21 * 100</f>
        <v>100.15094339622641</v>
      </c>
      <c r="L22" s="7">
        <f>Processed_CN_HK[[#This Row],[Value]]/B10 * 100</f>
        <v>103.91542678151919</v>
      </c>
      <c r="M22" cm="1">
        <f t="array" ref="M22">ROUND( Processed_CN_HK[[#This Row],[Value]] / AVERAGE( _xlfn._xlws.FILTER(Processed_CN_HK[Value], YEAR(Processed_CN_HK[Date])=2020) ), 3) * 100</f>
        <v>104.4</v>
      </c>
      <c r="N22" s="16" cm="1">
        <f t="array" ref="N22" xml:space="preserve"> Processed_CN_HK[[#This Row],[Value]] / _xlfn.XLOOKUP(MIN(_xlfn._xlws.FILTER(Processed_CN_HK[Date], YEAR(Processed_CN_HK[Date])=YEAR(Processed_CN_HK[[#This Row],[Date]]))), Processed_CN_HK[Date], Processed_CN_HK[Value]) - 1</f>
        <v>4.2419481539670123E-2</v>
      </c>
    </row>
    <row r="23" spans="1:14">
      <c r="A23" s="6">
        <f>rawData_HousePriceIndex_HK!A23</f>
        <v>44470</v>
      </c>
      <c r="B23" s="10">
        <f>rawData_HousePriceIndex_HK!B23</f>
        <v>396</v>
      </c>
      <c r="C23" t="s">
        <v>35</v>
      </c>
      <c r="D23" t="s">
        <v>22</v>
      </c>
      <c r="E23" s="8">
        <v>44470</v>
      </c>
      <c r="F23">
        <v>21</v>
      </c>
      <c r="G23">
        <v>398</v>
      </c>
      <c r="H23">
        <v>381</v>
      </c>
      <c r="I23" s="16">
        <f t="shared" si="0"/>
        <v>-5.2750565184627547E-3</v>
      </c>
      <c r="J23" s="16">
        <f>(Processed_CN_HK[[#This Row],[Value]]-B11)/B11</f>
        <v>3.855232100708101E-2</v>
      </c>
      <c r="K23" s="7">
        <f>Processed_CN_HK[[#This Row],[Value]]/B22 * 100</f>
        <v>99.472494348153731</v>
      </c>
      <c r="L23" s="7">
        <f>Processed_CN_HK[[#This Row],[Value]]/B11 * 100</f>
        <v>103.85523210070811</v>
      </c>
      <c r="M23" cm="1">
        <f t="array" ref="M23">ROUND( Processed_CN_HK[[#This Row],[Value]] / AVERAGE( _xlfn._xlws.FILTER(Processed_CN_HK[Value], YEAR(Processed_CN_HK[Date])=2020) ), 3) * 100</f>
        <v>103.89999999999999</v>
      </c>
      <c r="N23" s="16" cm="1">
        <f t="array" ref="N23" xml:space="preserve"> Processed_CN_HK[[#This Row],[Value]] / _xlfn.XLOOKUP(MIN(_xlfn._xlws.FILTER(Processed_CN_HK[Date], YEAR(Processed_CN_HK[Date])=YEAR(Processed_CN_HK[[#This Row],[Date]]))), Processed_CN_HK[Date], Processed_CN_HK[Value]) - 1</f>
        <v>3.6920659858601823E-2</v>
      </c>
    </row>
    <row r="24" spans="1:14">
      <c r="A24" s="6">
        <f>rawData_HousePriceIndex_HK!A24</f>
        <v>44501</v>
      </c>
      <c r="B24" s="10">
        <f>rawData_HousePriceIndex_HK!B24</f>
        <v>393.6</v>
      </c>
      <c r="C24" t="s">
        <v>35</v>
      </c>
      <c r="D24" t="s">
        <v>22</v>
      </c>
      <c r="E24" s="8">
        <v>44501</v>
      </c>
      <c r="F24">
        <v>22</v>
      </c>
      <c r="G24">
        <v>396</v>
      </c>
      <c r="H24">
        <v>381</v>
      </c>
      <c r="I24" s="16">
        <f t="shared" si="0"/>
        <v>-6.0606060606060034E-3</v>
      </c>
      <c r="J24" s="16">
        <f>(Processed_CN_HK[[#This Row],[Value]]-B12)/B12</f>
        <v>3.415659485023647E-2</v>
      </c>
      <c r="K24" s="7">
        <f>Processed_CN_HK[[#This Row],[Value]]/B23 * 100</f>
        <v>99.393939393939405</v>
      </c>
      <c r="L24" s="7">
        <f>Processed_CN_HK[[#This Row],[Value]]/B12 * 100</f>
        <v>103.41565948502365</v>
      </c>
      <c r="M24" cm="1">
        <f t="array" ref="M24">ROUND( Processed_CN_HK[[#This Row],[Value]] / AVERAGE( _xlfn._xlws.FILTER(Processed_CN_HK[Value], YEAR(Processed_CN_HK[Date])=2020) ), 3) * 100</f>
        <v>103.3</v>
      </c>
      <c r="N24" s="16" cm="1">
        <f t="array" ref="N24" xml:space="preserve"> Processed_CN_HK[[#This Row],[Value]] / _xlfn.XLOOKUP(MIN(_xlfn._xlws.FILTER(Processed_CN_HK[Date], YEAR(Processed_CN_HK[Date])=YEAR(Processed_CN_HK[[#This Row],[Date]]))), Processed_CN_HK[Date], Processed_CN_HK[Value]) - 1</f>
        <v>3.0636292223095163E-2</v>
      </c>
    </row>
    <row r="25" spans="1:14">
      <c r="A25" s="6">
        <f>rawData_HousePriceIndex_HK!A25</f>
        <v>44531</v>
      </c>
      <c r="B25" s="10">
        <f>rawData_HousePriceIndex_HK!B25</f>
        <v>393.9</v>
      </c>
      <c r="C25" t="s">
        <v>35</v>
      </c>
      <c r="D25" t="s">
        <v>22</v>
      </c>
      <c r="E25" s="8">
        <v>44531</v>
      </c>
      <c r="F25">
        <v>23</v>
      </c>
      <c r="G25">
        <v>394</v>
      </c>
      <c r="H25">
        <v>380</v>
      </c>
      <c r="I25" s="16">
        <f t="shared" si="0"/>
        <v>7.6219512195110396E-4</v>
      </c>
      <c r="J25" s="16">
        <f>(Processed_CN_HK[[#This Row],[Value]]-B13)/B13</f>
        <v>3.685180310608055E-2</v>
      </c>
      <c r="K25" s="7">
        <f>Processed_CN_HK[[#This Row],[Value]]/B24 * 100</f>
        <v>100.07621951219512</v>
      </c>
      <c r="L25" s="7">
        <f>Processed_CN_HK[[#This Row],[Value]]/B13 * 100</f>
        <v>103.68518031060805</v>
      </c>
      <c r="M25" cm="1">
        <f t="array" ref="M25">ROUND( Processed_CN_HK[[#This Row],[Value]] / AVERAGE( _xlfn._xlws.FILTER(Processed_CN_HK[Value], YEAR(Processed_CN_HK[Date])=2020) ), 3) * 100</f>
        <v>103.3</v>
      </c>
      <c r="N25" s="16" cm="1">
        <f t="array" ref="N25" xml:space="preserve"> Processed_CN_HK[[#This Row],[Value]] / _xlfn.XLOOKUP(MIN(_xlfn._xlws.FILTER(Processed_CN_HK[Date], YEAR(Processed_CN_HK[Date])=YEAR(Processed_CN_HK[[#This Row],[Date]]))), Processed_CN_HK[Date], Processed_CN_HK[Value]) - 1</f>
        <v>3.1421838177533301E-2</v>
      </c>
    </row>
    <row r="26" spans="1:14">
      <c r="A26" s="6">
        <f>rawData_HousePriceIndex_HK!A26</f>
        <v>44562</v>
      </c>
      <c r="B26" s="10">
        <f>rawData_HousePriceIndex_HK!B26</f>
        <v>390.8</v>
      </c>
      <c r="C26" t="s">
        <v>35</v>
      </c>
      <c r="D26" t="s">
        <v>22</v>
      </c>
      <c r="E26" s="8">
        <v>44562</v>
      </c>
      <c r="F26">
        <v>24</v>
      </c>
      <c r="G26">
        <v>394</v>
      </c>
      <c r="H26">
        <v>382</v>
      </c>
      <c r="I26" s="16">
        <f t="shared" si="0"/>
        <v>-7.8700177710077836E-3</v>
      </c>
      <c r="J26" s="16">
        <f>(Processed_CN_HK[[#This Row],[Value]]-B14)/B14</f>
        <v>2.3304529981670687E-2</v>
      </c>
      <c r="K26" s="7">
        <f>Processed_CN_HK[[#This Row],[Value]]/B25 * 100</f>
        <v>99.212998222899216</v>
      </c>
      <c r="L26" s="7">
        <f>Processed_CN_HK[[#This Row],[Value]]/B14 * 100</f>
        <v>102.33045299816708</v>
      </c>
      <c r="M26" cm="1">
        <f t="array" ref="M26">ROUND( Processed_CN_HK[[#This Row],[Value]] / AVERAGE( _xlfn._xlws.FILTER(Processed_CN_HK[Value], YEAR(Processed_CN_HK[Date])=2020) ), 3) * 100</f>
        <v>102.49999999999999</v>
      </c>
      <c r="N26" s="16" cm="1">
        <f t="array" ref="N26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27" spans="1:14">
      <c r="A27" s="6">
        <f>rawData_HousePriceIndex_HK!A27</f>
        <v>44593</v>
      </c>
      <c r="B27" s="10">
        <f>rawData_HousePriceIndex_HK!B27</f>
        <v>383.6</v>
      </c>
      <c r="C27" t="s">
        <v>35</v>
      </c>
      <c r="D27" t="s">
        <v>22</v>
      </c>
      <c r="E27" s="8">
        <v>44593</v>
      </c>
      <c r="F27">
        <v>25</v>
      </c>
      <c r="G27">
        <v>391</v>
      </c>
      <c r="H27">
        <v>385</v>
      </c>
      <c r="I27" s="16">
        <f t="shared" si="0"/>
        <v>-1.8423746161719521E-2</v>
      </c>
      <c r="J27" s="16">
        <f>(Processed_CN_HK[[#This Row],[Value]]-B15)/B15</f>
        <v>-3.3775006495192377E-3</v>
      </c>
      <c r="K27" s="7">
        <f>Processed_CN_HK[[#This Row],[Value]]/B26 * 100</f>
        <v>98.157625383828048</v>
      </c>
      <c r="L27" s="7">
        <f>Processed_CN_HK[[#This Row],[Value]]/B15 * 100</f>
        <v>99.662249935048081</v>
      </c>
      <c r="M27" cm="1">
        <f t="array" ref="M27">ROUND( Processed_CN_HK[[#This Row],[Value]] / AVERAGE( _xlfn._xlws.FILTER(Processed_CN_HK[Value], YEAR(Processed_CN_HK[Date])=2020) ), 3) * 100</f>
        <v>100.6</v>
      </c>
      <c r="N27" s="16" cm="1">
        <f t="array" ref="N27" xml:space="preserve"> Processed_CN_HK[[#This Row],[Value]] / _xlfn.XLOOKUP(MIN(_xlfn._xlws.FILTER(Processed_CN_HK[Date], YEAR(Processed_CN_HK[Date])=YEAR(Processed_CN_HK[[#This Row],[Date]]))), Processed_CN_HK[Date], Processed_CN_HK[Value]) - 1</f>
        <v>-1.842374616171949E-2</v>
      </c>
    </row>
    <row r="28" spans="1:14">
      <c r="A28" s="6">
        <f>rawData_HousePriceIndex_HK!A28</f>
        <v>44621</v>
      </c>
      <c r="B28" s="10">
        <f>rawData_HousePriceIndex_HK!B28</f>
        <v>381.4</v>
      </c>
      <c r="C28" t="s">
        <v>35</v>
      </c>
      <c r="D28" t="s">
        <v>22</v>
      </c>
      <c r="E28" s="8">
        <v>44621</v>
      </c>
      <c r="F28">
        <v>26</v>
      </c>
      <c r="G28">
        <v>384</v>
      </c>
      <c r="H28">
        <v>390</v>
      </c>
      <c r="I28" s="16">
        <f t="shared" si="0"/>
        <v>-5.7351407716372399E-3</v>
      </c>
      <c r="J28" s="16">
        <f>(Processed_CN_HK[[#This Row],[Value]]-B16)/B16</f>
        <v>-2.1047227926078143E-2</v>
      </c>
      <c r="K28" s="7">
        <f>Processed_CN_HK[[#This Row],[Value]]/B27 * 100</f>
        <v>99.426485922836278</v>
      </c>
      <c r="L28" s="7">
        <f>Processed_CN_HK[[#This Row],[Value]]/B16 * 100</f>
        <v>97.895277207392184</v>
      </c>
      <c r="M28" cm="1">
        <f t="array" ref="M28">ROUND( Processed_CN_HK[[#This Row],[Value]] / AVERAGE( _xlfn._xlws.FILTER(Processed_CN_HK[Value], YEAR(Processed_CN_HK[Date])=2020) ), 3) * 100</f>
        <v>100.1</v>
      </c>
      <c r="N28" s="16" cm="1">
        <f t="array" ref="N28" xml:space="preserve"> Processed_CN_HK[[#This Row],[Value]] / _xlfn.XLOOKUP(MIN(_xlfn._xlws.FILTER(Processed_CN_HK[Date], YEAR(Processed_CN_HK[Date])=YEAR(Processed_CN_HK[[#This Row],[Date]]))), Processed_CN_HK[Date], Processed_CN_HK[Value]) - 1</f>
        <v>-2.4053224155578423E-2</v>
      </c>
    </row>
    <row r="29" spans="1:14">
      <c r="A29" s="6">
        <f>rawData_HousePriceIndex_HK!A29</f>
        <v>44652</v>
      </c>
      <c r="B29" s="10">
        <f>rawData_HousePriceIndex_HK!B29</f>
        <v>385</v>
      </c>
      <c r="C29" t="s">
        <v>35</v>
      </c>
      <c r="D29" t="s">
        <v>22</v>
      </c>
      <c r="E29" s="8">
        <v>44652</v>
      </c>
      <c r="F29">
        <v>27</v>
      </c>
      <c r="G29">
        <v>381</v>
      </c>
      <c r="H29">
        <v>391</v>
      </c>
      <c r="I29" s="16">
        <f t="shared" si="0"/>
        <v>9.4389092815941877E-3</v>
      </c>
      <c r="J29" s="16">
        <f>(Processed_CN_HK[[#This Row],[Value]]-B17)/B17</f>
        <v>-1.5345268542199489E-2</v>
      </c>
      <c r="K29" s="7">
        <f>Processed_CN_HK[[#This Row],[Value]]/B28 * 100</f>
        <v>100.94389092815941</v>
      </c>
      <c r="L29" s="7">
        <f>Processed_CN_HK[[#This Row],[Value]]/B17 * 100</f>
        <v>98.465473145780052</v>
      </c>
      <c r="M29" cm="1">
        <f t="array" ref="M29">ROUND( Processed_CN_HK[[#This Row],[Value]] / AVERAGE( _xlfn._xlws.FILTER(Processed_CN_HK[Value], YEAR(Processed_CN_HK[Date])=2020) ), 3) * 100</f>
        <v>101</v>
      </c>
      <c r="N29" s="16" cm="1">
        <f t="array" ref="N29" xml:space="preserve"> Processed_CN_HK[[#This Row],[Value]] / _xlfn.XLOOKUP(MIN(_xlfn._xlws.FILTER(Processed_CN_HK[Date], YEAR(Processed_CN_HK[Date])=YEAR(Processed_CN_HK[[#This Row],[Date]]))), Processed_CN_HK[Date], Processed_CN_HK[Value]) - 1</f>
        <v>-1.4841351074718512E-2</v>
      </c>
    </row>
    <row r="30" spans="1:14">
      <c r="A30" s="6">
        <f>rawData_HousePriceIndex_HK!A30</f>
        <v>44682</v>
      </c>
      <c r="B30" s="10">
        <f>rawData_HousePriceIndex_HK!B30</f>
        <v>385.5</v>
      </c>
      <c r="C30" t="s">
        <v>35</v>
      </c>
      <c r="D30" t="s">
        <v>22</v>
      </c>
      <c r="E30" s="8">
        <v>44682</v>
      </c>
      <c r="F30">
        <v>28</v>
      </c>
      <c r="G30">
        <v>385</v>
      </c>
      <c r="H30">
        <v>394</v>
      </c>
      <c r="I30" s="16">
        <f t="shared" si="0"/>
        <v>1.2987012987012987E-3</v>
      </c>
      <c r="J30" s="16">
        <f>(Processed_CN_HK[[#This Row],[Value]]-B18)/B18</f>
        <v>-2.1325209444021269E-2</v>
      </c>
      <c r="K30" s="7">
        <f>Processed_CN_HK[[#This Row],[Value]]/B29 * 100</f>
        <v>100.12987012987014</v>
      </c>
      <c r="L30" s="7">
        <f>Processed_CN_HK[[#This Row],[Value]]/B18 * 100</f>
        <v>97.867479055597869</v>
      </c>
      <c r="M30" cm="1">
        <f t="array" ref="M30">ROUND( Processed_CN_HK[[#This Row],[Value]] / AVERAGE( _xlfn._xlws.FILTER(Processed_CN_HK[Value], YEAR(Processed_CN_HK[Date])=2020) ), 3) * 100</f>
        <v>101.1</v>
      </c>
      <c r="N30" s="16" cm="1">
        <f t="array" ref="N30" xml:space="preserve"> Processed_CN_HK[[#This Row],[Value]] / _xlfn.XLOOKUP(MIN(_xlfn._xlws.FILTER(Processed_CN_HK[Date], YEAR(Processed_CN_HK[Date])=YEAR(Processed_CN_HK[[#This Row],[Date]]))), Processed_CN_HK[Date], Processed_CN_HK[Value]) - 1</f>
        <v>-1.3561924257932456E-2</v>
      </c>
    </row>
    <row r="31" spans="1:14">
      <c r="A31" s="6">
        <f>rawData_HousePriceIndex_HK!A31</f>
        <v>44713</v>
      </c>
      <c r="B31" s="10">
        <f>rawData_HousePriceIndex_HK!B31</f>
        <v>381.8</v>
      </c>
      <c r="C31" t="s">
        <v>35</v>
      </c>
      <c r="D31" t="s">
        <v>22</v>
      </c>
      <c r="E31" s="8">
        <v>44713</v>
      </c>
      <c r="F31">
        <v>29</v>
      </c>
      <c r="G31">
        <v>386</v>
      </c>
      <c r="H31">
        <v>394</v>
      </c>
      <c r="I31" s="16">
        <f t="shared" si="0"/>
        <v>-9.5979247730220204E-3</v>
      </c>
      <c r="J31" s="16">
        <f>(Processed_CN_HK[[#This Row],[Value]]-B19)/B19</f>
        <v>-3.0964467005076112E-2</v>
      </c>
      <c r="K31" s="7">
        <f>Processed_CN_HK[[#This Row],[Value]]/B30 * 100</f>
        <v>99.040207522697798</v>
      </c>
      <c r="L31" s="7">
        <f>Processed_CN_HK[[#This Row],[Value]]/B19 * 100</f>
        <v>96.903553299492387</v>
      </c>
      <c r="M31" cm="1">
        <f t="array" ref="M31">ROUND( Processed_CN_HK[[#This Row],[Value]] / AVERAGE( _xlfn._xlws.FILTER(Processed_CN_HK[Value], YEAR(Processed_CN_HK[Date])=2020) ), 3) * 100</f>
        <v>100.2</v>
      </c>
      <c r="N31" s="16" cm="1">
        <f t="array" ref="N31" xml:space="preserve"> Processed_CN_HK[[#This Row],[Value]] / _xlfn.XLOOKUP(MIN(_xlfn._xlws.FILTER(Processed_CN_HK[Date], YEAR(Processed_CN_HK[Date])=YEAR(Processed_CN_HK[[#This Row],[Date]]))), Processed_CN_HK[Date], Processed_CN_HK[Value]) - 1</f>
        <v>-2.3029682702149445E-2</v>
      </c>
    </row>
    <row r="32" spans="1:14">
      <c r="A32" s="6">
        <f>rawData_HousePriceIndex_HK!A32</f>
        <v>44743</v>
      </c>
      <c r="B32" s="10">
        <f>rawData_HousePriceIndex_HK!B32</f>
        <v>376.5</v>
      </c>
      <c r="C32" t="s">
        <v>35</v>
      </c>
      <c r="D32" t="s">
        <v>22</v>
      </c>
      <c r="E32" s="8">
        <v>44743</v>
      </c>
      <c r="F32">
        <v>30</v>
      </c>
      <c r="G32">
        <v>382</v>
      </c>
      <c r="H32">
        <v>398</v>
      </c>
      <c r="I32" s="16">
        <f t="shared" si="0"/>
        <v>-1.3881613410162419E-2</v>
      </c>
      <c r="J32" s="16">
        <f>(Processed_CN_HK[[#This Row],[Value]]-B20)/B20</f>
        <v>-5.4020100502512561E-2</v>
      </c>
      <c r="K32" s="7">
        <f>Processed_CN_HK[[#This Row],[Value]]/B31 * 100</f>
        <v>98.611838658983757</v>
      </c>
      <c r="L32" s="7">
        <f>Processed_CN_HK[[#This Row],[Value]]/B20 * 100</f>
        <v>94.597989949748737</v>
      </c>
      <c r="M32" cm="1">
        <f t="array" ref="M32">ROUND( Processed_CN_HK[[#This Row],[Value]] / AVERAGE( _xlfn._xlws.FILTER(Processed_CN_HK[Value], YEAR(Processed_CN_HK[Date])=2020) ), 3) * 100</f>
        <v>98.8</v>
      </c>
      <c r="N32" s="16" cm="1">
        <f t="array" ref="N32" xml:space="preserve"> Processed_CN_HK[[#This Row],[Value]] / _xlfn.XLOOKUP(MIN(_xlfn._xlws.FILTER(Processed_CN_HK[Date], YEAR(Processed_CN_HK[Date])=YEAR(Processed_CN_HK[[#This Row],[Date]]))), Processed_CN_HK[Date], Processed_CN_HK[Value]) - 1</f>
        <v>-3.6591606960081902E-2</v>
      </c>
    </row>
    <row r="33" spans="1:14">
      <c r="A33" s="6">
        <f>rawData_HousePriceIndex_HK!A33</f>
        <v>44774</v>
      </c>
      <c r="B33" s="10">
        <f>rawData_HousePriceIndex_HK!B33</f>
        <v>368.2</v>
      </c>
      <c r="C33" t="s">
        <v>35</v>
      </c>
      <c r="D33" t="s">
        <v>22</v>
      </c>
      <c r="E33" s="8">
        <v>44774</v>
      </c>
      <c r="F33">
        <v>31</v>
      </c>
      <c r="G33">
        <v>376</v>
      </c>
      <c r="H33">
        <v>398</v>
      </c>
      <c r="I33" s="16">
        <f t="shared" si="0"/>
        <v>-2.2045152722443589E-2</v>
      </c>
      <c r="J33" s="16">
        <f>(Processed_CN_HK[[#This Row],[Value]]-B21)/B21</f>
        <v>-7.3710691823899402E-2</v>
      </c>
      <c r="K33" s="7">
        <f>Processed_CN_HK[[#This Row],[Value]]/B32 * 100</f>
        <v>97.79548472775565</v>
      </c>
      <c r="L33" s="7">
        <f>Processed_CN_HK[[#This Row],[Value]]/B21 * 100</f>
        <v>92.628930817610055</v>
      </c>
      <c r="M33" cm="1">
        <f t="array" ref="M33">ROUND( Processed_CN_HK[[#This Row],[Value]] / AVERAGE( _xlfn._xlws.FILTER(Processed_CN_HK[Value], YEAR(Processed_CN_HK[Date])=2020) ), 3) * 100</f>
        <v>96.6</v>
      </c>
      <c r="N33" s="16" cm="1">
        <f t="array" ref="N33" xml:space="preserve"> Processed_CN_HK[[#This Row],[Value]] / _xlfn.XLOOKUP(MIN(_xlfn._xlws.FILTER(Processed_CN_HK[Date], YEAR(Processed_CN_HK[Date])=YEAR(Processed_CN_HK[[#This Row],[Date]]))), Processed_CN_HK[Date], Processed_CN_HK[Value]) - 1</f>
        <v>-5.7830092118730914E-2</v>
      </c>
    </row>
    <row r="34" spans="1:14">
      <c r="A34" s="6">
        <f>rawData_HousePriceIndex_HK!A34</f>
        <v>44805</v>
      </c>
      <c r="B34" s="10">
        <f>rawData_HousePriceIndex_HK!B34</f>
        <v>360.3</v>
      </c>
      <c r="C34" t="s">
        <v>35</v>
      </c>
      <c r="D34" t="s">
        <v>22</v>
      </c>
      <c r="E34" s="8">
        <v>44805</v>
      </c>
      <c r="F34">
        <v>32</v>
      </c>
      <c r="G34">
        <v>368</v>
      </c>
      <c r="H34">
        <v>398</v>
      </c>
      <c r="I34" s="16">
        <f t="shared" si="0"/>
        <v>-2.1455730581205805E-2</v>
      </c>
      <c r="J34" s="16">
        <f>(Processed_CN_HK[[#This Row],[Value]]-B22)/B22</f>
        <v>-9.495101733232858E-2</v>
      </c>
      <c r="K34" s="7">
        <f>Processed_CN_HK[[#This Row],[Value]]/B33 * 100</f>
        <v>97.854426941879424</v>
      </c>
      <c r="L34" s="7">
        <f>Processed_CN_HK[[#This Row],[Value]]/B22 * 100</f>
        <v>90.504898266767142</v>
      </c>
      <c r="M34" cm="1">
        <f t="array" ref="M34">ROUND( Processed_CN_HK[[#This Row],[Value]] / AVERAGE( _xlfn._xlws.FILTER(Processed_CN_HK[Value], YEAR(Processed_CN_HK[Date])=2020) ), 3) * 100</f>
        <v>94.5</v>
      </c>
      <c r="N34" s="16" cm="1">
        <f t="array" ref="N34" xml:space="preserve"> Processed_CN_HK[[#This Row],[Value]] / _xlfn.XLOOKUP(MIN(_xlfn._xlws.FILTER(Processed_CN_HK[Date], YEAR(Processed_CN_HK[Date])=YEAR(Processed_CN_HK[[#This Row],[Date]]))), Processed_CN_HK[Date], Processed_CN_HK[Value]) - 1</f>
        <v>-7.8045035823950837E-2</v>
      </c>
    </row>
    <row r="35" spans="1:14">
      <c r="A35" s="6">
        <f>rawData_HousePriceIndex_HK!A35</f>
        <v>44835</v>
      </c>
      <c r="B35" s="10">
        <f>rawData_HousePriceIndex_HK!B35</f>
        <v>350.2</v>
      </c>
      <c r="C35" t="s">
        <v>35</v>
      </c>
      <c r="D35" t="s">
        <v>22</v>
      </c>
      <c r="E35" s="8">
        <v>44835</v>
      </c>
      <c r="F35">
        <v>33</v>
      </c>
      <c r="G35">
        <v>360</v>
      </c>
      <c r="H35">
        <v>396</v>
      </c>
      <c r="I35" s="16">
        <f t="shared" si="0"/>
        <v>-2.8032195392728346E-2</v>
      </c>
      <c r="J35" s="16">
        <f>(Processed_CN_HK[[#This Row],[Value]]-B23)/B23</f>
        <v>-0.11565656565656568</v>
      </c>
      <c r="K35" s="7">
        <f>Processed_CN_HK[[#This Row],[Value]]/B34 * 100</f>
        <v>97.196780460727155</v>
      </c>
      <c r="L35" s="7">
        <f>Processed_CN_HK[[#This Row],[Value]]/B23 * 100</f>
        <v>88.434343434343432</v>
      </c>
      <c r="M35" cm="1">
        <f t="array" ref="M35">ROUND( Processed_CN_HK[[#This Row],[Value]] / AVERAGE( _xlfn._xlws.FILTER(Processed_CN_HK[Value], YEAR(Processed_CN_HK[Date])=2020) ), 3) * 100</f>
        <v>91.9</v>
      </c>
      <c r="N35" s="16" cm="1">
        <f t="array" ref="N35" xml:space="preserve"> Processed_CN_HK[[#This Row],[Value]] / _xlfn.XLOOKUP(MIN(_xlfn._xlws.FILTER(Processed_CN_HK[Date], YEAR(Processed_CN_HK[Date])=YEAR(Processed_CN_HK[[#This Row],[Date]]))), Processed_CN_HK[Date], Processed_CN_HK[Value]) - 1</f>
        <v>-0.10388945752302969</v>
      </c>
    </row>
    <row r="36" spans="1:14">
      <c r="A36" s="6">
        <f>rawData_HousePriceIndex_HK!A36</f>
        <v>44866</v>
      </c>
      <c r="B36" s="10">
        <f>rawData_HousePriceIndex_HK!B36</f>
        <v>338.2</v>
      </c>
      <c r="C36" t="s">
        <v>35</v>
      </c>
      <c r="D36" t="s">
        <v>22</v>
      </c>
      <c r="E36" s="8">
        <v>44866</v>
      </c>
      <c r="F36">
        <v>34</v>
      </c>
      <c r="G36">
        <v>350</v>
      </c>
      <c r="H36">
        <v>394</v>
      </c>
      <c r="I36" s="16">
        <f t="shared" si="0"/>
        <v>-3.4266133637921192E-2</v>
      </c>
      <c r="J36" s="16">
        <f>(Processed_CN_HK[[#This Row],[Value]]-B24)/B24</f>
        <v>-0.14075203252032528</v>
      </c>
      <c r="K36" s="7">
        <f>Processed_CN_HK[[#This Row],[Value]]/B35 * 100</f>
        <v>96.573386636207886</v>
      </c>
      <c r="L36" s="7">
        <f>Processed_CN_HK[[#This Row],[Value]]/B24 * 100</f>
        <v>85.924796747967463</v>
      </c>
      <c r="M36" cm="1">
        <f t="array" ref="M36">ROUND( Processed_CN_HK[[#This Row],[Value]] / AVERAGE( _xlfn._xlws.FILTER(Processed_CN_HK[Value], YEAR(Processed_CN_HK[Date])=2020) ), 3) * 100</f>
        <v>88.7</v>
      </c>
      <c r="N36" s="16" cm="1">
        <f t="array" ref="N36" xml:space="preserve"> Processed_CN_HK[[#This Row],[Value]] / _xlfn.XLOOKUP(MIN(_xlfn._xlws.FILTER(Processed_CN_HK[Date], YEAR(Processed_CN_HK[Date])=YEAR(Processed_CN_HK[[#This Row],[Date]]))), Processed_CN_HK[Date], Processed_CN_HK[Value]) - 1</f>
        <v>-0.13459570112589569</v>
      </c>
    </row>
    <row r="37" spans="1:14">
      <c r="A37" s="6">
        <f>rawData_HousePriceIndex_HK!A37</f>
        <v>44896</v>
      </c>
      <c r="B37" s="10">
        <f>rawData_HousePriceIndex_HK!B37</f>
        <v>334.7</v>
      </c>
      <c r="C37" t="s">
        <v>35</v>
      </c>
      <c r="D37" t="s">
        <v>22</v>
      </c>
      <c r="E37" s="8">
        <v>44896</v>
      </c>
      <c r="F37">
        <v>35</v>
      </c>
      <c r="G37">
        <v>338</v>
      </c>
      <c r="H37">
        <v>394</v>
      </c>
      <c r="I37" s="16">
        <f t="shared" si="0"/>
        <v>-1.0348905972797163E-2</v>
      </c>
      <c r="J37" s="16">
        <f>(Processed_CN_HK[[#This Row],[Value]]-B25)/B25</f>
        <v>-0.15029195227215028</v>
      </c>
      <c r="K37" s="7">
        <f>Processed_CN_HK[[#This Row],[Value]]/B36 * 100</f>
        <v>98.965109402720287</v>
      </c>
      <c r="L37" s="7">
        <f>Processed_CN_HK[[#This Row],[Value]]/B25 * 100</f>
        <v>84.970804772784973</v>
      </c>
      <c r="M37" cm="1">
        <f t="array" ref="M37">ROUND( Processed_CN_HK[[#This Row],[Value]] / AVERAGE( _xlfn._xlws.FILTER(Processed_CN_HK[Value], YEAR(Processed_CN_HK[Date])=2020) ), 3) * 100</f>
        <v>87.8</v>
      </c>
      <c r="N37" s="16" cm="1">
        <f t="array" ref="N37" xml:space="preserve"> Processed_CN_HK[[#This Row],[Value]] / _xlfn.XLOOKUP(MIN(_xlfn._xlws.FILTER(Processed_CN_HK[Date], YEAR(Processed_CN_HK[Date])=YEAR(Processed_CN_HK[[#This Row],[Date]]))), Processed_CN_HK[Date], Processed_CN_HK[Value]) - 1</f>
        <v>-0.1435516888433982</v>
      </c>
    </row>
    <row r="38" spans="1:14">
      <c r="A38" s="6">
        <f>rawData_HousePriceIndex_HK!A38</f>
        <v>44927</v>
      </c>
      <c r="B38" s="10">
        <f>rawData_HousePriceIndex_HK!B38</f>
        <v>338.3</v>
      </c>
      <c r="C38" t="s">
        <v>35</v>
      </c>
      <c r="D38" t="s">
        <v>22</v>
      </c>
      <c r="E38" s="8">
        <v>44927</v>
      </c>
      <c r="F38">
        <v>36</v>
      </c>
      <c r="G38">
        <v>335</v>
      </c>
      <c r="H38">
        <v>391</v>
      </c>
      <c r="I38" s="16">
        <f t="shared" si="0"/>
        <v>1.0755900806692628E-2</v>
      </c>
      <c r="J38" s="16">
        <f>(Processed_CN_HK[[#This Row],[Value]]-B26)/B26</f>
        <v>-0.13433981576253837</v>
      </c>
      <c r="K38" s="7">
        <f>Processed_CN_HK[[#This Row],[Value]]/B37 * 100</f>
        <v>101.07559008066926</v>
      </c>
      <c r="L38" s="7">
        <f>Processed_CN_HK[[#This Row],[Value]]/B26 * 100</f>
        <v>86.566018423746158</v>
      </c>
      <c r="M38" cm="1">
        <f t="array" ref="M38">ROUND( Processed_CN_HK[[#This Row],[Value]] / AVERAGE( _xlfn._xlws.FILTER(Processed_CN_HK[Value], YEAR(Processed_CN_HK[Date])=2020) ), 3) * 100</f>
        <v>88.8</v>
      </c>
      <c r="N38" s="16" cm="1">
        <f t="array" ref="N38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39" spans="1:14">
      <c r="A39" s="6">
        <f>rawData_HousePriceIndex_HK!A39</f>
        <v>44958</v>
      </c>
      <c r="B39" s="10">
        <f>rawData_HousePriceIndex_HK!B39</f>
        <v>346.8</v>
      </c>
      <c r="C39" t="s">
        <v>35</v>
      </c>
      <c r="D39" t="s">
        <v>22</v>
      </c>
      <c r="E39" s="8">
        <v>44958</v>
      </c>
      <c r="F39">
        <v>37</v>
      </c>
      <c r="G39">
        <v>338</v>
      </c>
      <c r="H39">
        <v>384</v>
      </c>
      <c r="I39" s="16">
        <f t="shared" si="0"/>
        <v>2.5125628140703515E-2</v>
      </c>
      <c r="J39" s="16">
        <f>(Processed_CN_HK[[#This Row],[Value]]-B27)/B27</f>
        <v>-9.5933263816475517E-2</v>
      </c>
      <c r="K39" s="7">
        <f>Processed_CN_HK[[#This Row],[Value]]/B38 * 100</f>
        <v>102.51256281407035</v>
      </c>
      <c r="L39" s="7">
        <f>Processed_CN_HK[[#This Row],[Value]]/B27 * 100</f>
        <v>90.406673618352457</v>
      </c>
      <c r="M39" cm="1">
        <f t="array" ref="M39">ROUND( Processed_CN_HK[[#This Row],[Value]] / AVERAGE( _xlfn._xlws.FILTER(Processed_CN_HK[Value], YEAR(Processed_CN_HK[Date])=2020) ), 3) * 100</f>
        <v>91</v>
      </c>
      <c r="N39" s="16" cm="1">
        <f t="array" ref="N39" xml:space="preserve"> Processed_CN_HK[[#This Row],[Value]] / _xlfn.XLOOKUP(MIN(_xlfn._xlws.FILTER(Processed_CN_HK[Date], YEAR(Processed_CN_HK[Date])=YEAR(Processed_CN_HK[[#This Row],[Date]]))), Processed_CN_HK[Date], Processed_CN_HK[Value]) - 1</f>
        <v>2.5125628140703515E-2</v>
      </c>
    </row>
    <row r="40" spans="1:14">
      <c r="A40" s="6">
        <f>rawData_HousePriceIndex_HK!A40</f>
        <v>44986</v>
      </c>
      <c r="B40" s="10">
        <f>rawData_HousePriceIndex_HK!B40</f>
        <v>352.3</v>
      </c>
      <c r="C40" t="s">
        <v>35</v>
      </c>
      <c r="D40" t="s">
        <v>22</v>
      </c>
      <c r="E40" s="8">
        <v>44986</v>
      </c>
      <c r="F40">
        <v>38</v>
      </c>
      <c r="G40">
        <v>347</v>
      </c>
      <c r="H40">
        <v>381</v>
      </c>
      <c r="I40" s="16">
        <f t="shared" si="0"/>
        <v>1.5859284890426758E-2</v>
      </c>
      <c r="J40" s="16">
        <f>(Processed_CN_HK[[#This Row],[Value]]-B28)/B28</f>
        <v>-7.6297850026219111E-2</v>
      </c>
      <c r="K40" s="7">
        <f>Processed_CN_HK[[#This Row],[Value]]/B39 * 100</f>
        <v>101.58592848904266</v>
      </c>
      <c r="L40" s="7">
        <f>Processed_CN_HK[[#This Row],[Value]]/B28 * 100</f>
        <v>92.370214997378085</v>
      </c>
      <c r="M40" cm="1">
        <f t="array" ref="M40">ROUND( Processed_CN_HK[[#This Row],[Value]] / AVERAGE( _xlfn._xlws.FILTER(Processed_CN_HK[Value], YEAR(Processed_CN_HK[Date])=2020) ), 3) * 100</f>
        <v>92.4</v>
      </c>
      <c r="N40" s="16" cm="1">
        <f t="array" ref="N40" xml:space="preserve"> Processed_CN_HK[[#This Row],[Value]] / _xlfn.XLOOKUP(MIN(_xlfn._xlws.FILTER(Processed_CN_HK[Date], YEAR(Processed_CN_HK[Date])=YEAR(Processed_CN_HK[[#This Row],[Date]]))), Processed_CN_HK[Date], Processed_CN_HK[Value]) - 1</f>
        <v>4.1383387525864679E-2</v>
      </c>
    </row>
    <row r="41" spans="1:14">
      <c r="A41" s="6">
        <f>rawData_HousePriceIndex_HK!A41</f>
        <v>45017</v>
      </c>
      <c r="B41" s="10">
        <f>rawData_HousePriceIndex_HK!B41</f>
        <v>354.2</v>
      </c>
      <c r="C41" t="s">
        <v>35</v>
      </c>
      <c r="D41" t="s">
        <v>22</v>
      </c>
      <c r="E41" s="8">
        <v>45017</v>
      </c>
      <c r="F41">
        <v>39</v>
      </c>
      <c r="G41">
        <v>352</v>
      </c>
      <c r="H41">
        <v>385</v>
      </c>
      <c r="I41" s="16">
        <f t="shared" si="0"/>
        <v>5.3931308543854022E-3</v>
      </c>
      <c r="J41" s="16">
        <f>(Processed_CN_HK[[#This Row],[Value]]-B29)/B29</f>
        <v>-8.0000000000000029E-2</v>
      </c>
      <c r="K41" s="7">
        <f>Processed_CN_HK[[#This Row],[Value]]/B40 * 100</f>
        <v>100.53931308543854</v>
      </c>
      <c r="L41" s="7">
        <f>Processed_CN_HK[[#This Row],[Value]]/B29 * 100</f>
        <v>92</v>
      </c>
      <c r="M41" cm="1">
        <f t="array" ref="M41">ROUND( Processed_CN_HK[[#This Row],[Value]] / AVERAGE( _xlfn._xlws.FILTER(Processed_CN_HK[Value], YEAR(Processed_CN_HK[Date])=2020) ), 3) * 100</f>
        <v>92.9</v>
      </c>
      <c r="N41" s="16" cm="1">
        <f t="array" ref="N41" xml:space="preserve"> Processed_CN_HK[[#This Row],[Value]] / _xlfn.XLOOKUP(MIN(_xlfn._xlws.FILTER(Processed_CN_HK[Date], YEAR(Processed_CN_HK[Date])=YEAR(Processed_CN_HK[[#This Row],[Date]]))), Processed_CN_HK[Date], Processed_CN_HK[Value]) - 1</f>
        <v>4.6999704404374842E-2</v>
      </c>
    </row>
    <row r="42" spans="1:14">
      <c r="A42" s="6">
        <f>rawData_HousePriceIndex_HK!A42</f>
        <v>45047</v>
      </c>
      <c r="B42" s="10">
        <f>rawData_HousePriceIndex_HK!B42</f>
        <v>350.4</v>
      </c>
      <c r="C42" t="s">
        <v>35</v>
      </c>
      <c r="D42" t="s">
        <v>22</v>
      </c>
      <c r="E42" s="8">
        <v>45047</v>
      </c>
      <c r="F42">
        <v>40</v>
      </c>
      <c r="G42">
        <v>354</v>
      </c>
      <c r="H42">
        <v>386</v>
      </c>
      <c r="I42" s="16">
        <f t="shared" si="0"/>
        <v>-1.0728402032749891E-2</v>
      </c>
      <c r="J42" s="16">
        <f>(Processed_CN_HK[[#This Row],[Value]]-B30)/B30</f>
        <v>-9.1050583657587614E-2</v>
      </c>
      <c r="K42" s="7">
        <f>Processed_CN_HK[[#This Row],[Value]]/B41 * 100</f>
        <v>98.927159796725007</v>
      </c>
      <c r="L42" s="7">
        <f>Processed_CN_HK[[#This Row],[Value]]/B30 * 100</f>
        <v>90.894941634241249</v>
      </c>
      <c r="M42" cm="1">
        <f t="array" ref="M42">ROUND( Processed_CN_HK[[#This Row],[Value]] / AVERAGE( _xlfn._xlws.FILTER(Processed_CN_HK[Value], YEAR(Processed_CN_HK[Date])=2020) ), 3) * 100</f>
        <v>91.9</v>
      </c>
      <c r="N42" s="16" cm="1">
        <f t="array" ref="N42" xml:space="preserve"> Processed_CN_HK[[#This Row],[Value]] / _xlfn.XLOOKUP(MIN(_xlfn._xlws.FILTER(Processed_CN_HK[Date], YEAR(Processed_CN_HK[Date])=YEAR(Processed_CN_HK[[#This Row],[Date]]))), Processed_CN_HK[Date], Processed_CN_HK[Value]) - 1</f>
        <v>3.5767070647354293E-2</v>
      </c>
    </row>
    <row r="43" spans="1:14">
      <c r="A43" s="6">
        <f>rawData_HousePriceIndex_HK!A43</f>
        <v>45078</v>
      </c>
      <c r="B43" s="10">
        <f>rawData_HousePriceIndex_HK!B43</f>
        <v>347.3</v>
      </c>
      <c r="C43" t="s">
        <v>35</v>
      </c>
      <c r="D43" t="s">
        <v>22</v>
      </c>
      <c r="E43" s="8">
        <v>45078</v>
      </c>
      <c r="F43">
        <v>41</v>
      </c>
      <c r="G43">
        <v>350</v>
      </c>
      <c r="H43">
        <v>382</v>
      </c>
      <c r="I43" s="16">
        <f t="shared" si="0"/>
        <v>-8.8470319634702237E-3</v>
      </c>
      <c r="J43" s="16">
        <f>(Processed_CN_HK[[#This Row],[Value]]-B31)/B31</f>
        <v>-9.036144578313253E-2</v>
      </c>
      <c r="K43" s="7">
        <f>Processed_CN_HK[[#This Row],[Value]]/B42 * 100</f>
        <v>99.115296803652981</v>
      </c>
      <c r="L43" s="7">
        <f>Processed_CN_HK[[#This Row],[Value]]/B31 * 100</f>
        <v>90.963855421686745</v>
      </c>
      <c r="M43" cm="1">
        <f t="array" ref="M43">ROUND( Processed_CN_HK[[#This Row],[Value]] / AVERAGE( _xlfn._xlws.FILTER(Processed_CN_HK[Value], YEAR(Processed_CN_HK[Date])=2020) ), 3) * 100</f>
        <v>91.100000000000009</v>
      </c>
      <c r="N43" s="16" cm="1">
        <f t="array" ref="N43" xml:space="preserve"> Processed_CN_HK[[#This Row],[Value]] / _xlfn.XLOOKUP(MIN(_xlfn._xlws.FILTER(Processed_CN_HK[Date], YEAR(Processed_CN_HK[Date])=YEAR(Processed_CN_HK[[#This Row],[Date]]))), Processed_CN_HK[Date], Processed_CN_HK[Value]) - 1</f>
        <v>2.6603606266627278E-2</v>
      </c>
    </row>
    <row r="44" spans="1:14">
      <c r="A44" s="6">
        <f>rawData_HousePriceIndex_HK!A44</f>
        <v>45108</v>
      </c>
      <c r="B44" s="10">
        <f>rawData_HousePriceIndex_HK!B44</f>
        <v>344</v>
      </c>
      <c r="C44" t="s">
        <v>35</v>
      </c>
      <c r="D44" t="s">
        <v>22</v>
      </c>
      <c r="E44" s="8">
        <v>45108</v>
      </c>
      <c r="F44">
        <v>42</v>
      </c>
      <c r="G44">
        <v>347</v>
      </c>
      <c r="H44">
        <v>376</v>
      </c>
      <c r="I44" s="16">
        <f t="shared" si="0"/>
        <v>-9.5018715807659408E-3</v>
      </c>
      <c r="J44" s="16">
        <f>(Processed_CN_HK[[#This Row],[Value]]-B32)/B32</f>
        <v>-8.632138114209828E-2</v>
      </c>
      <c r="K44" s="7">
        <f>Processed_CN_HK[[#This Row],[Value]]/B43 * 100</f>
        <v>99.049812841923398</v>
      </c>
      <c r="L44" s="7">
        <f>Processed_CN_HK[[#This Row],[Value]]/B32 * 100</f>
        <v>91.367861885790163</v>
      </c>
      <c r="M44" cm="1">
        <f t="array" ref="M44">ROUND( Processed_CN_HK[[#This Row],[Value]] / AVERAGE( _xlfn._xlws.FILTER(Processed_CN_HK[Value], YEAR(Processed_CN_HK[Date])=2020) ), 3) * 100</f>
        <v>90.2</v>
      </c>
      <c r="N44" s="16" cm="1">
        <f t="array" ref="N44" xml:space="preserve"> Processed_CN_HK[[#This Row],[Value]] / _xlfn.XLOOKUP(MIN(_xlfn._xlws.FILTER(Processed_CN_HK[Date], YEAR(Processed_CN_HK[Date])=YEAR(Processed_CN_HK[[#This Row],[Date]]))), Processed_CN_HK[Date], Processed_CN_HK[Value]) - 1</f>
        <v>1.6848950635530491E-2</v>
      </c>
    </row>
    <row r="45" spans="1:14">
      <c r="A45" s="6">
        <f>rawData_HousePriceIndex_HK!A45</f>
        <v>45139</v>
      </c>
      <c r="B45" s="10">
        <f>rawData_HousePriceIndex_HK!B45</f>
        <v>337</v>
      </c>
      <c r="C45" t="s">
        <v>35</v>
      </c>
      <c r="D45" t="s">
        <v>22</v>
      </c>
      <c r="E45" s="8">
        <v>45139</v>
      </c>
      <c r="F45">
        <v>43</v>
      </c>
      <c r="G45">
        <v>344</v>
      </c>
      <c r="H45">
        <v>368</v>
      </c>
      <c r="I45" s="16">
        <f t="shared" si="0"/>
        <v>-2.0348837209302327E-2</v>
      </c>
      <c r="J45" s="16">
        <f>(Processed_CN_HK[[#This Row],[Value]]-B33)/B33</f>
        <v>-8.4736556219445924E-2</v>
      </c>
      <c r="K45" s="7">
        <f>Processed_CN_HK[[#This Row],[Value]]/B44 * 100</f>
        <v>97.965116279069761</v>
      </c>
      <c r="L45" s="7">
        <f>Processed_CN_HK[[#This Row],[Value]]/B33 * 100</f>
        <v>91.526344378055398</v>
      </c>
      <c r="M45" cm="1">
        <f t="array" ref="M45">ROUND( Processed_CN_HK[[#This Row],[Value]] / AVERAGE( _xlfn._xlws.FILTER(Processed_CN_HK[Value], YEAR(Processed_CN_HK[Date])=2020) ), 3) * 100</f>
        <v>88.4</v>
      </c>
      <c r="N45" s="16" cm="1">
        <f t="array" ref="N45" xml:space="preserve"> Processed_CN_HK[[#This Row],[Value]] / _xlfn.XLOOKUP(MIN(_xlfn._xlws.FILTER(Processed_CN_HK[Date], YEAR(Processed_CN_HK[Date])=YEAR(Processed_CN_HK[[#This Row],[Date]]))), Processed_CN_HK[Date], Processed_CN_HK[Value]) - 1</f>
        <v>-3.8427431274017376E-3</v>
      </c>
    </row>
    <row r="46" spans="1:14">
      <c r="A46" s="6">
        <f>rawData_HousePriceIndex_HK!A46</f>
        <v>45170</v>
      </c>
      <c r="B46" s="10">
        <f>rawData_HousePriceIndex_HK!B46</f>
        <v>329.1</v>
      </c>
      <c r="C46" t="s">
        <v>35</v>
      </c>
      <c r="D46" t="s">
        <v>22</v>
      </c>
      <c r="E46" s="8">
        <v>45170</v>
      </c>
      <c r="F46">
        <v>44</v>
      </c>
      <c r="G46">
        <v>337</v>
      </c>
      <c r="H46">
        <v>360</v>
      </c>
      <c r="I46" s="16">
        <f t="shared" si="0"/>
        <v>-2.3442136498516251E-2</v>
      </c>
      <c r="J46" s="16">
        <f>(Processed_CN_HK[[#This Row],[Value]]-B34)/B34</f>
        <v>-8.6594504579517034E-2</v>
      </c>
      <c r="K46" s="7">
        <f>Processed_CN_HK[[#This Row],[Value]]/B45 * 100</f>
        <v>97.655786350148375</v>
      </c>
      <c r="L46" s="7">
        <f>Processed_CN_HK[[#This Row],[Value]]/B34 * 100</f>
        <v>91.340549542048294</v>
      </c>
      <c r="M46" cm="1">
        <f t="array" ref="M46">ROUND( Processed_CN_HK[[#This Row],[Value]] / AVERAGE( _xlfn._xlws.FILTER(Processed_CN_HK[Value], YEAR(Processed_CN_HK[Date])=2020) ), 3) * 100</f>
        <v>86.3</v>
      </c>
      <c r="N46" s="16" cm="1">
        <f t="array" ref="N46" xml:space="preserve"> Processed_CN_HK[[#This Row],[Value]] / _xlfn.XLOOKUP(MIN(_xlfn._xlws.FILTER(Processed_CN_HK[Date], YEAR(Processed_CN_HK[Date])=YEAR(Processed_CN_HK[[#This Row],[Date]]))), Processed_CN_HK[Date], Processed_CN_HK[Value]) - 1</f>
        <v>-2.7194797516996716E-2</v>
      </c>
    </row>
    <row r="47" spans="1:14">
      <c r="A47" s="6">
        <f>rawData_HousePriceIndex_HK!A47</f>
        <v>45200</v>
      </c>
      <c r="B47" s="10">
        <f>rawData_HousePriceIndex_HK!B47</f>
        <v>322</v>
      </c>
      <c r="C47" t="s">
        <v>35</v>
      </c>
      <c r="D47" t="s">
        <v>22</v>
      </c>
      <c r="E47" s="8">
        <v>45200</v>
      </c>
      <c r="F47">
        <v>45</v>
      </c>
      <c r="G47">
        <v>329</v>
      </c>
      <c r="H47">
        <v>350</v>
      </c>
      <c r="I47" s="16">
        <f t="shared" si="0"/>
        <v>-2.1573989668793748E-2</v>
      </c>
      <c r="J47" s="16">
        <f>(Processed_CN_HK[[#This Row],[Value]]-B35)/B35</f>
        <v>-8.0525414049114757E-2</v>
      </c>
      <c r="K47" s="7">
        <f>Processed_CN_HK[[#This Row],[Value]]/B46 * 100</f>
        <v>97.84260103312063</v>
      </c>
      <c r="L47" s="7">
        <f>Processed_CN_HK[[#This Row],[Value]]/B35 * 100</f>
        <v>91.947458595088534</v>
      </c>
      <c r="M47" cm="1">
        <f t="array" ref="M47">ROUND( Processed_CN_HK[[#This Row],[Value]] / AVERAGE( _xlfn._xlws.FILTER(Processed_CN_HK[Value], YEAR(Processed_CN_HK[Date])=2020) ), 3) * 100</f>
        <v>84.5</v>
      </c>
      <c r="N47" s="16" cm="1">
        <f t="array" ref="N47" xml:space="preserve"> Processed_CN_HK[[#This Row],[Value]] / _xlfn.XLOOKUP(MIN(_xlfn._xlws.FILTER(Processed_CN_HK[Date], YEAR(Processed_CN_HK[Date])=YEAR(Processed_CN_HK[[#This Row],[Date]]))), Processed_CN_HK[Date], Processed_CN_HK[Value]) - 1</f>
        <v>-4.818208690511383E-2</v>
      </c>
    </row>
    <row r="48" spans="1:14">
      <c r="A48" s="6">
        <f>rawData_HousePriceIndex_HK!A48</f>
        <v>45231</v>
      </c>
      <c r="B48" s="10">
        <f>rawData_HousePriceIndex_HK!B48</f>
        <v>315.60000000000002</v>
      </c>
      <c r="C48" t="s">
        <v>35</v>
      </c>
      <c r="D48" t="s">
        <v>22</v>
      </c>
      <c r="E48" s="8">
        <v>45231</v>
      </c>
      <c r="F48">
        <v>46</v>
      </c>
      <c r="G48">
        <v>322</v>
      </c>
      <c r="H48">
        <v>338</v>
      </c>
      <c r="I48" s="16">
        <f t="shared" si="0"/>
        <v>-1.9875776397515456E-2</v>
      </c>
      <c r="J48" s="16">
        <f>(Processed_CN_HK[[#This Row],[Value]]-B36)/B36</f>
        <v>-6.6824364281490148E-2</v>
      </c>
      <c r="K48" s="7">
        <f>Processed_CN_HK[[#This Row],[Value]]/B47 * 100</f>
        <v>98.012422360248451</v>
      </c>
      <c r="L48" s="7">
        <f>Processed_CN_HK[[#This Row],[Value]]/B36 * 100</f>
        <v>93.317563571850982</v>
      </c>
      <c r="M48" cm="1">
        <f t="array" ref="M48">ROUND( Processed_CN_HK[[#This Row],[Value]] / AVERAGE( _xlfn._xlws.FILTER(Processed_CN_HK[Value], YEAR(Processed_CN_HK[Date])=2020) ), 3) * 100</f>
        <v>82.8</v>
      </c>
      <c r="N48" s="16" cm="1">
        <f t="array" ref="N48" xml:space="preserve"> Processed_CN_HK[[#This Row],[Value]] / _xlfn.XLOOKUP(MIN(_xlfn._xlws.FILTER(Processed_CN_HK[Date], YEAR(Processed_CN_HK[Date])=YEAR(Processed_CN_HK[[#This Row],[Date]]))), Processed_CN_HK[Date], Processed_CN_HK[Value]) - 1</f>
        <v>-6.7100206916937633E-2</v>
      </c>
    </row>
    <row r="49" spans="1:14">
      <c r="A49" s="6">
        <f>rawData_HousePriceIndex_HK!A49</f>
        <v>45261</v>
      </c>
      <c r="B49" s="10">
        <f>rawData_HousePriceIndex_HK!B49</f>
        <v>311.3</v>
      </c>
      <c r="C49" t="s">
        <v>35</v>
      </c>
      <c r="D49" t="s">
        <v>22</v>
      </c>
      <c r="E49" s="8">
        <v>45261</v>
      </c>
      <c r="F49">
        <v>47</v>
      </c>
      <c r="G49">
        <v>316</v>
      </c>
      <c r="H49">
        <v>335</v>
      </c>
      <c r="I49" s="16">
        <f t="shared" si="0"/>
        <v>-1.3624841571609668E-2</v>
      </c>
      <c r="J49" s="16">
        <f>(Processed_CN_HK[[#This Row],[Value]]-B37)/B37</f>
        <v>-6.9913355243501576E-2</v>
      </c>
      <c r="K49" s="7">
        <f>Processed_CN_HK[[#This Row],[Value]]/B48 * 100</f>
        <v>98.637515842839036</v>
      </c>
      <c r="L49" s="7">
        <f>Processed_CN_HK[[#This Row],[Value]]/B37 * 100</f>
        <v>93.008664475649837</v>
      </c>
      <c r="M49" cm="1">
        <f t="array" ref="M49">ROUND( Processed_CN_HK[[#This Row],[Value]] / AVERAGE( _xlfn._xlws.FILTER(Processed_CN_HK[Value], YEAR(Processed_CN_HK[Date])=2020) ), 3) * 100</f>
        <v>81.699999999999989</v>
      </c>
      <c r="N49" s="16" cm="1">
        <f t="array" ref="N49" xml:space="preserve"> Processed_CN_HK[[#This Row],[Value]] / _xlfn.XLOOKUP(MIN(_xlfn._xlws.FILTER(Processed_CN_HK[Date], YEAR(Processed_CN_HK[Date])=YEAR(Processed_CN_HK[[#This Row],[Date]]))), Processed_CN_HK[Date], Processed_CN_HK[Value]) - 1</f>
        <v>-7.9810818799881722E-2</v>
      </c>
    </row>
    <row r="50" spans="1:14">
      <c r="A50" s="6">
        <f>rawData_HousePriceIndex_HK!A50</f>
        <v>45292</v>
      </c>
      <c r="B50" s="10">
        <f>rawData_HousePriceIndex_HK!B50</f>
        <v>307.3</v>
      </c>
      <c r="C50" t="s">
        <v>35</v>
      </c>
      <c r="D50" t="s">
        <v>22</v>
      </c>
      <c r="E50" s="8">
        <v>45292</v>
      </c>
      <c r="F50">
        <v>48</v>
      </c>
      <c r="G50">
        <v>311</v>
      </c>
      <c r="H50">
        <v>338</v>
      </c>
      <c r="I50" s="16">
        <f t="shared" si="0"/>
        <v>-1.2849341471249599E-2</v>
      </c>
      <c r="J50" s="16">
        <f>(Processed_CN_HK[[#This Row],[Value]]-B38)/B38</f>
        <v>-9.1634643807271654E-2</v>
      </c>
      <c r="K50" s="7">
        <f>Processed_CN_HK[[#This Row],[Value]]/B49 * 100</f>
        <v>98.715065852875043</v>
      </c>
      <c r="L50" s="7">
        <f>Processed_CN_HK[[#This Row],[Value]]/B38 * 100</f>
        <v>90.836535619272837</v>
      </c>
      <c r="M50" cm="1">
        <f t="array" ref="M50">ROUND( Processed_CN_HK[[#This Row],[Value]] / AVERAGE( _xlfn._xlws.FILTER(Processed_CN_HK[Value], YEAR(Processed_CN_HK[Date])=2020) ), 3) * 100</f>
        <v>80.600000000000009</v>
      </c>
      <c r="N50" s="16" cm="1">
        <f t="array" ref="N50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51" spans="1:14">
      <c r="A51" s="6">
        <f>rawData_HousePriceIndex_HK!A51</f>
        <v>45323</v>
      </c>
      <c r="B51" s="10">
        <f>rawData_HousePriceIndex_HK!B51</f>
        <v>302.39999999999998</v>
      </c>
      <c r="C51" t="s">
        <v>35</v>
      </c>
      <c r="D51" t="s">
        <v>22</v>
      </c>
      <c r="E51" s="8">
        <v>45323</v>
      </c>
      <c r="F51">
        <v>49</v>
      </c>
      <c r="G51">
        <v>307</v>
      </c>
      <c r="H51">
        <v>347</v>
      </c>
      <c r="I51" s="16">
        <f t="shared" si="0"/>
        <v>-1.5945330296127672E-2</v>
      </c>
      <c r="J51" s="16">
        <f>(Processed_CN_HK[[#This Row],[Value]]-B39)/B39</f>
        <v>-0.12802768166089976</v>
      </c>
      <c r="K51" s="7">
        <f>Processed_CN_HK[[#This Row],[Value]]/B50 * 100</f>
        <v>98.405466970387238</v>
      </c>
      <c r="L51" s="7">
        <f>Processed_CN_HK[[#This Row],[Value]]/B39 * 100</f>
        <v>87.197231833910024</v>
      </c>
      <c r="M51" cm="1">
        <f t="array" ref="M51">ROUND( Processed_CN_HK[[#This Row],[Value]] / AVERAGE( _xlfn._xlws.FILTER(Processed_CN_HK[Value], YEAR(Processed_CN_HK[Date])=2020) ), 3) * 100</f>
        <v>79.3</v>
      </c>
      <c r="N51" s="16" cm="1">
        <f t="array" ref="N51" xml:space="preserve"> Processed_CN_HK[[#This Row],[Value]] / _xlfn.XLOOKUP(MIN(_xlfn._xlws.FILTER(Processed_CN_HK[Date], YEAR(Processed_CN_HK[Date])=YEAR(Processed_CN_HK[[#This Row],[Date]]))), Processed_CN_HK[Date], Processed_CN_HK[Value]) - 1</f>
        <v>-1.5945330296127658E-2</v>
      </c>
    </row>
    <row r="52" spans="1:14">
      <c r="A52" s="6">
        <f>rawData_HousePriceIndex_HK!A52</f>
        <v>45352</v>
      </c>
      <c r="B52" s="10">
        <f>rawData_HousePriceIndex_HK!B52</f>
        <v>308.10000000000002</v>
      </c>
      <c r="C52" t="s">
        <v>35</v>
      </c>
      <c r="D52" t="s">
        <v>22</v>
      </c>
      <c r="E52" s="8">
        <v>45352</v>
      </c>
      <c r="F52">
        <v>50</v>
      </c>
      <c r="G52">
        <v>302</v>
      </c>
      <c r="H52">
        <v>352</v>
      </c>
      <c r="I52" s="16">
        <f t="shared" si="0"/>
        <v>1.8849206349206501E-2</v>
      </c>
      <c r="J52" s="16">
        <f>(Processed_CN_HK[[#This Row],[Value]]-B40)/B40</f>
        <v>-0.12546125461254609</v>
      </c>
      <c r="K52" s="7">
        <f>Processed_CN_HK[[#This Row],[Value]]/B51 * 100</f>
        <v>101.88492063492065</v>
      </c>
      <c r="L52" s="7">
        <f>Processed_CN_HK[[#This Row],[Value]]/B40 * 100</f>
        <v>87.453874538745396</v>
      </c>
      <c r="M52" cm="1">
        <f t="array" ref="M52">ROUND( Processed_CN_HK[[#This Row],[Value]] / AVERAGE( _xlfn._xlws.FILTER(Processed_CN_HK[Value], YEAR(Processed_CN_HK[Date])=2020) ), 3) * 100</f>
        <v>80.800000000000011</v>
      </c>
      <c r="N52" s="16" cm="1">
        <f t="array" ref="N52" xml:space="preserve"> Processed_CN_HK[[#This Row],[Value]] / _xlfn.XLOOKUP(MIN(_xlfn._xlws.FILTER(Processed_CN_HK[Date], YEAR(Processed_CN_HK[Date])=YEAR(Processed_CN_HK[[#This Row],[Date]]))), Processed_CN_HK[Date], Processed_CN_HK[Value]) - 1</f>
        <v>2.6033192320209508E-3</v>
      </c>
    </row>
    <row r="53" spans="1:14">
      <c r="A53" s="6">
        <f>rawData_HousePriceIndex_HK!A53</f>
        <v>45383</v>
      </c>
      <c r="B53" s="10">
        <f>rawData_HousePriceIndex_HK!B53</f>
        <v>309.60000000000002</v>
      </c>
      <c r="C53" t="s">
        <v>35</v>
      </c>
      <c r="D53" t="s">
        <v>22</v>
      </c>
      <c r="E53" s="8">
        <v>45383</v>
      </c>
      <c r="F53">
        <v>51</v>
      </c>
      <c r="G53">
        <v>308</v>
      </c>
      <c r="H53">
        <v>354</v>
      </c>
      <c r="I53" s="16">
        <f t="shared" si="0"/>
        <v>4.8685491723466402E-3</v>
      </c>
      <c r="J53" s="16">
        <f>(Processed_CN_HK[[#This Row],[Value]]-B41)/B41</f>
        <v>-0.1259175607001693</v>
      </c>
      <c r="K53" s="7">
        <f>Processed_CN_HK[[#This Row],[Value]]/B52 * 100</f>
        <v>100.48685491723465</v>
      </c>
      <c r="L53" s="7">
        <f>Processed_CN_HK[[#This Row],[Value]]/B41 * 100</f>
        <v>87.408243929983058</v>
      </c>
      <c r="M53" cm="1">
        <f t="array" ref="M53">ROUND( Processed_CN_HK[[#This Row],[Value]] / AVERAGE( _xlfn._xlws.FILTER(Processed_CN_HK[Value], YEAR(Processed_CN_HK[Date])=2020) ), 3) * 100</f>
        <v>81.2</v>
      </c>
      <c r="N53" s="16" cm="1">
        <f t="array" ref="N53" xml:space="preserve"> Processed_CN_HK[[#This Row],[Value]] / _xlfn.XLOOKUP(MIN(_xlfn._xlws.FILTER(Processed_CN_HK[Date], YEAR(Processed_CN_HK[Date])=YEAR(Processed_CN_HK[[#This Row],[Date]]))), Processed_CN_HK[Date], Processed_CN_HK[Value]) - 1</f>
        <v>7.4845427920600116E-3</v>
      </c>
    </row>
    <row r="54" spans="1:14">
      <c r="A54" s="6">
        <f>rawData_HousePriceIndex_HK!A54</f>
        <v>45413</v>
      </c>
      <c r="B54" s="10">
        <f>rawData_HousePriceIndex_HK!B54</f>
        <v>305.5</v>
      </c>
      <c r="C54" t="s">
        <v>35</v>
      </c>
      <c r="D54" t="s">
        <v>22</v>
      </c>
      <c r="E54" s="8">
        <v>45413</v>
      </c>
      <c r="F54">
        <v>52</v>
      </c>
      <c r="G54">
        <v>310</v>
      </c>
      <c r="H54">
        <v>350</v>
      </c>
      <c r="I54" s="16">
        <f t="shared" si="0"/>
        <v>-1.3242894056847618E-2</v>
      </c>
      <c r="J54" s="16">
        <f>(Processed_CN_HK[[#This Row],[Value]]-B42)/B42</f>
        <v>-0.12813926940639264</v>
      </c>
      <c r="K54" s="7">
        <f>Processed_CN_HK[[#This Row],[Value]]/B53 * 100</f>
        <v>98.675710594315234</v>
      </c>
      <c r="L54" s="7">
        <f>Processed_CN_HK[[#This Row],[Value]]/B42 * 100</f>
        <v>87.186073059360737</v>
      </c>
      <c r="M54" cm="1">
        <f t="array" ref="M54">ROUND( Processed_CN_HK[[#This Row],[Value]] / AVERAGE( _xlfn._xlws.FILTER(Processed_CN_HK[Value], YEAR(Processed_CN_HK[Date])=2020) ), 3) * 100</f>
        <v>80.100000000000009</v>
      </c>
      <c r="N54" s="16" cm="1">
        <f t="array" ref="N54" xml:space="preserve"> Processed_CN_HK[[#This Row],[Value]] / _xlfn.XLOOKUP(MIN(_xlfn._xlws.FILTER(Processed_CN_HK[Date], YEAR(Processed_CN_HK[Date])=YEAR(Processed_CN_HK[[#This Row],[Date]]))), Processed_CN_HK[Date], Processed_CN_HK[Value]) - 1</f>
        <v>-5.8574682720469173E-3</v>
      </c>
    </row>
    <row r="55" spans="1:14">
      <c r="A55" s="6">
        <f>rawData_HousePriceIndex_HK!A55</f>
        <v>45444</v>
      </c>
      <c r="B55" s="10">
        <f>rawData_HousePriceIndex_HK!B55</f>
        <v>302.5</v>
      </c>
      <c r="C55" t="s">
        <v>35</v>
      </c>
      <c r="D55" t="s">
        <v>22</v>
      </c>
      <c r="E55" s="8">
        <v>45444</v>
      </c>
      <c r="F55">
        <v>53</v>
      </c>
      <c r="G55">
        <v>306</v>
      </c>
      <c r="H55">
        <v>347</v>
      </c>
      <c r="I55" s="16">
        <f t="shared" si="0"/>
        <v>-9.8199672667757774E-3</v>
      </c>
      <c r="J55" s="16">
        <f>(Processed_CN_HK[[#This Row],[Value]]-B43)/B43</f>
        <v>-0.12899510509645842</v>
      </c>
      <c r="K55" s="7">
        <f>Processed_CN_HK[[#This Row],[Value]]/B54 * 100</f>
        <v>99.018003273322421</v>
      </c>
      <c r="L55" s="7">
        <f>Processed_CN_HK[[#This Row],[Value]]/B43 * 100</f>
        <v>87.100489490354164</v>
      </c>
      <c r="M55" cm="1">
        <f t="array" ref="M55">ROUND( Processed_CN_HK[[#This Row],[Value]] / AVERAGE( _xlfn._xlws.FILTER(Processed_CN_HK[Value], YEAR(Processed_CN_HK[Date])=2020) ), 3) * 100</f>
        <v>79.400000000000006</v>
      </c>
      <c r="N55" s="16" cm="1">
        <f t="array" ref="N55" xml:space="preserve"> Processed_CN_HK[[#This Row],[Value]] / _xlfn.XLOOKUP(MIN(_xlfn._xlws.FILTER(Processed_CN_HK[Date], YEAR(Processed_CN_HK[Date])=YEAR(Processed_CN_HK[[#This Row],[Date]]))), Processed_CN_HK[Date], Processed_CN_HK[Value]) - 1</f>
        <v>-1.5619915392125039E-2</v>
      </c>
    </row>
    <row r="56" spans="1:14">
      <c r="A56" s="6">
        <f>rawData_HousePriceIndex_HK!A56</f>
        <v>45474</v>
      </c>
      <c r="B56" s="10">
        <f>rawData_HousePriceIndex_HK!B56</f>
        <v>297.60000000000002</v>
      </c>
      <c r="C56" t="s">
        <v>35</v>
      </c>
      <c r="D56" t="s">
        <v>22</v>
      </c>
      <c r="E56" s="8">
        <v>45474</v>
      </c>
      <c r="F56">
        <v>54</v>
      </c>
      <c r="G56">
        <v>302</v>
      </c>
      <c r="H56">
        <v>344</v>
      </c>
      <c r="I56" s="16">
        <f t="shared" si="0"/>
        <v>-1.6198347107437942E-2</v>
      </c>
      <c r="J56" s="16">
        <f>(Processed_CN_HK[[#This Row],[Value]]-B44)/B44</f>
        <v>-0.13488372093023249</v>
      </c>
      <c r="K56" s="7">
        <f>Processed_CN_HK[[#This Row],[Value]]/B55 * 100</f>
        <v>98.380165289256212</v>
      </c>
      <c r="L56" s="7">
        <f>Processed_CN_HK[[#This Row],[Value]]/B44 * 100</f>
        <v>86.511627906976756</v>
      </c>
      <c r="M56" cm="1">
        <f t="array" ref="M56">ROUND( Processed_CN_HK[[#This Row],[Value]] / AVERAGE( _xlfn._xlws.FILTER(Processed_CN_HK[Value], YEAR(Processed_CN_HK[Date])=2020) ), 3) * 100</f>
        <v>78.100000000000009</v>
      </c>
      <c r="N56" s="16" cm="1">
        <f t="array" ref="N56" xml:space="preserve"> Processed_CN_HK[[#This Row],[Value]] / _xlfn.XLOOKUP(MIN(_xlfn._xlws.FILTER(Processed_CN_HK[Date], YEAR(Processed_CN_HK[Date])=YEAR(Processed_CN_HK[[#This Row],[Date]]))), Processed_CN_HK[Date], Processed_CN_HK[Value]) - 1</f>
        <v>-3.1565245688252475E-2</v>
      </c>
    </row>
    <row r="57" spans="1:14">
      <c r="A57" s="6">
        <f>rawData_HousePriceIndex_HK!A57</f>
        <v>45505</v>
      </c>
      <c r="B57" s="10">
        <f>rawData_HousePriceIndex_HK!B57</f>
        <v>292</v>
      </c>
      <c r="C57" t="s">
        <v>35</v>
      </c>
      <c r="D57" t="s">
        <v>22</v>
      </c>
      <c r="E57" s="8">
        <v>45505</v>
      </c>
      <c r="F57">
        <v>55</v>
      </c>
      <c r="G57">
        <v>298</v>
      </c>
      <c r="H57">
        <v>337</v>
      </c>
      <c r="I57" s="16">
        <f t="shared" si="0"/>
        <v>-1.8817204301075342E-2</v>
      </c>
      <c r="J57" s="16">
        <f>(Processed_CN_HK[[#This Row],[Value]]-B45)/B45</f>
        <v>-0.13353115727002968</v>
      </c>
      <c r="K57" s="7">
        <f>Processed_CN_HK[[#This Row],[Value]]/B56 * 100</f>
        <v>98.118279569892465</v>
      </c>
      <c r="L57" s="7">
        <f>Processed_CN_HK[[#This Row],[Value]]/B45 * 100</f>
        <v>86.646884272997042</v>
      </c>
      <c r="M57" cm="1">
        <f t="array" ref="M57">ROUND( Processed_CN_HK[[#This Row],[Value]] / AVERAGE( _xlfn._xlws.FILTER(Processed_CN_HK[Value], YEAR(Processed_CN_HK[Date])=2020) ), 3) * 100</f>
        <v>76.599999999999994</v>
      </c>
      <c r="N57" s="16" cm="1">
        <f t="array" ref="N57" xml:space="preserve"> Processed_CN_HK[[#This Row],[Value]] / _xlfn.XLOOKUP(MIN(_xlfn._xlws.FILTER(Processed_CN_HK[Date], YEAR(Processed_CN_HK[Date])=YEAR(Processed_CN_HK[[#This Row],[Date]]))), Processed_CN_HK[Date], Processed_CN_HK[Value]) - 1</f>
        <v>-4.9788480312398353E-2</v>
      </c>
    </row>
    <row r="58" spans="1:14">
      <c r="A58" s="6">
        <f>rawData_HousePriceIndex_HK!A58</f>
        <v>45536</v>
      </c>
      <c r="B58" s="10">
        <f>rawData_HousePriceIndex_HK!B58</f>
        <v>287.89999999999998</v>
      </c>
      <c r="C58" t="s">
        <v>35</v>
      </c>
      <c r="D58" t="s">
        <v>22</v>
      </c>
      <c r="E58" s="8">
        <v>45536</v>
      </c>
      <c r="F58">
        <v>56</v>
      </c>
      <c r="G58">
        <v>292</v>
      </c>
      <c r="H58">
        <v>329</v>
      </c>
      <c r="I58" s="16">
        <f t="shared" si="0"/>
        <v>-1.4041095890411037E-2</v>
      </c>
      <c r="J58" s="16">
        <f>(Processed_CN_HK[[#This Row],[Value]]-B46)/B46</f>
        <v>-0.12518991188088741</v>
      </c>
      <c r="K58" s="7">
        <f>Processed_CN_HK[[#This Row],[Value]]/B57 * 100</f>
        <v>98.595890410958901</v>
      </c>
      <c r="L58" s="7">
        <f>Processed_CN_HK[[#This Row],[Value]]/B46 * 100</f>
        <v>87.481008811911266</v>
      </c>
      <c r="M58" cm="1">
        <f t="array" ref="M58">ROUND( Processed_CN_HK[[#This Row],[Value]] / AVERAGE( _xlfn._xlws.FILTER(Processed_CN_HK[Value], YEAR(Processed_CN_HK[Date])=2020) ), 3) * 100</f>
        <v>75.5</v>
      </c>
      <c r="N58" s="16" cm="1">
        <f t="array" ref="N58" xml:space="preserve"> Processed_CN_HK[[#This Row],[Value]] / _xlfn.XLOOKUP(MIN(_xlfn._xlws.FILTER(Processed_CN_HK[Date], YEAR(Processed_CN_HK[Date])=YEAR(Processed_CN_HK[[#This Row],[Date]]))), Processed_CN_HK[Date], Processed_CN_HK[Value]) - 1</f>
        <v>-6.3130491376505171E-2</v>
      </c>
    </row>
    <row r="59" spans="1:14">
      <c r="A59" s="6">
        <f>rawData_HousePriceIndex_HK!A59</f>
        <v>45566</v>
      </c>
      <c r="B59" s="10">
        <f>rawData_HousePriceIndex_HK!B59</f>
        <v>291</v>
      </c>
      <c r="C59" t="s">
        <v>35</v>
      </c>
      <c r="D59" t="s">
        <v>22</v>
      </c>
      <c r="E59" s="8">
        <v>45566</v>
      </c>
      <c r="F59">
        <v>57</v>
      </c>
      <c r="G59">
        <v>288</v>
      </c>
      <c r="H59">
        <v>322</v>
      </c>
      <c r="I59" s="16">
        <f t="shared" si="0"/>
        <v>1.0767627648489139E-2</v>
      </c>
      <c r="J59" s="16">
        <f>(Processed_CN_HK[[#This Row],[Value]]-B47)/B47</f>
        <v>-9.627329192546584E-2</v>
      </c>
      <c r="K59" s="7">
        <f>Processed_CN_HK[[#This Row],[Value]]/B58 * 100</f>
        <v>101.07676276484892</v>
      </c>
      <c r="L59" s="7">
        <f>Processed_CN_HK[[#This Row],[Value]]/B47 * 100</f>
        <v>90.372670807453417</v>
      </c>
      <c r="M59" cm="1">
        <f t="array" ref="M59">ROUND( Processed_CN_HK[[#This Row],[Value]] / AVERAGE( _xlfn._xlws.FILTER(Processed_CN_HK[Value], YEAR(Processed_CN_HK[Date])=2020) ), 3) * 100</f>
        <v>76.3</v>
      </c>
      <c r="N59" s="16" cm="1">
        <f t="array" ref="N59" xml:space="preserve"> Processed_CN_HK[[#This Row],[Value]] / _xlfn.XLOOKUP(MIN(_xlfn._xlws.FILTER(Processed_CN_HK[Date], YEAR(Processed_CN_HK[Date])=YEAR(Processed_CN_HK[[#This Row],[Date]]))), Processed_CN_HK[Date], Processed_CN_HK[Value]) - 1</f>
        <v>-5.3042629352424431E-2</v>
      </c>
    </row>
    <row r="60" spans="1:14">
      <c r="A60" s="6">
        <f>rawData_HousePriceIndex_HK!A60</f>
        <v>45597</v>
      </c>
      <c r="B60" s="10">
        <f>rawData_HousePriceIndex_HK!B60</f>
        <v>291.5</v>
      </c>
      <c r="C60" t="s">
        <v>35</v>
      </c>
      <c r="D60" t="s">
        <v>22</v>
      </c>
      <c r="E60" s="8">
        <v>45597</v>
      </c>
      <c r="F60">
        <v>58</v>
      </c>
      <c r="G60">
        <v>291</v>
      </c>
      <c r="H60">
        <v>316</v>
      </c>
      <c r="I60" s="16">
        <f t="shared" si="0"/>
        <v>1.718213058419244E-3</v>
      </c>
      <c r="J60" s="16">
        <f>(Processed_CN_HK[[#This Row],[Value]]-B48)/B48</f>
        <v>-7.6362484157161029E-2</v>
      </c>
      <c r="K60" s="7">
        <f>Processed_CN_HK[[#This Row],[Value]]/B59 * 100</f>
        <v>100.17182130584192</v>
      </c>
      <c r="L60" s="7">
        <f>Processed_CN_HK[[#This Row],[Value]]/B48 * 100</f>
        <v>92.363751584283889</v>
      </c>
      <c r="M60" cm="1">
        <f t="array" ref="M60">ROUND( Processed_CN_HK[[#This Row],[Value]] / AVERAGE( _xlfn._xlws.FILTER(Processed_CN_HK[Value], YEAR(Processed_CN_HK[Date])=2020) ), 3) * 100</f>
        <v>76.5</v>
      </c>
      <c r="N60" s="16" cm="1">
        <f t="array" ref="N60" xml:space="preserve"> Processed_CN_HK[[#This Row],[Value]] / _xlfn.XLOOKUP(MIN(_xlfn._xlws.FILTER(Processed_CN_HK[Date], YEAR(Processed_CN_HK[Date])=YEAR(Processed_CN_HK[[#This Row],[Date]]))), Processed_CN_HK[Date], Processed_CN_HK[Value]) - 1</f>
        <v>-5.1415554832411337E-2</v>
      </c>
    </row>
    <row r="61" spans="1:14">
      <c r="A61" s="6">
        <f>rawData_HousePriceIndex_HK!A61</f>
        <v>45627</v>
      </c>
      <c r="B61" s="10">
        <f>rawData_HousePriceIndex_HK!B61</f>
        <v>289.2</v>
      </c>
      <c r="C61" t="s">
        <v>35</v>
      </c>
      <c r="D61" t="s">
        <v>22</v>
      </c>
      <c r="E61" s="8">
        <v>45627</v>
      </c>
      <c r="F61">
        <v>59</v>
      </c>
      <c r="G61">
        <v>292</v>
      </c>
      <c r="H61">
        <v>311</v>
      </c>
      <c r="I61" s="16">
        <f t="shared" si="0"/>
        <v>-7.8902229845626455E-3</v>
      </c>
      <c r="J61" s="16">
        <f>(Processed_CN_HK[[#This Row],[Value]]-B49)/B49</f>
        <v>-7.0992611628654098E-2</v>
      </c>
      <c r="K61" s="7">
        <f>Processed_CN_HK[[#This Row],[Value]]/B60 * 100</f>
        <v>99.21097770154374</v>
      </c>
      <c r="L61" s="7">
        <f>Processed_CN_HK[[#This Row],[Value]]/B49 * 100</f>
        <v>92.900738837134583</v>
      </c>
      <c r="M61" cm="1">
        <f t="array" ref="M61">ROUND( Processed_CN_HK[[#This Row],[Value]] / AVERAGE( _xlfn._xlws.FILTER(Processed_CN_HK[Value], YEAR(Processed_CN_HK[Date])=2020) ), 3) * 100</f>
        <v>75.900000000000006</v>
      </c>
      <c r="N61" s="16" cm="1">
        <f t="array" ref="N61" xml:space="preserve"> Processed_CN_HK[[#This Row],[Value]] / _xlfn.XLOOKUP(MIN(_xlfn._xlws.FILTER(Processed_CN_HK[Date], YEAR(Processed_CN_HK[Date])=YEAR(Processed_CN_HK[[#This Row],[Date]]))), Processed_CN_HK[Date], Processed_CN_HK[Value]) - 1</f>
        <v>-5.8900097624471237E-2</v>
      </c>
    </row>
    <row r="62" spans="1:14">
      <c r="A62" s="6">
        <f>rawData_HousePriceIndex_HK!A62</f>
        <v>45658</v>
      </c>
      <c r="B62" s="10">
        <f>rawData_HousePriceIndex_HK!B62</f>
        <v>287.2</v>
      </c>
      <c r="C62" t="s">
        <v>35</v>
      </c>
      <c r="D62" t="s">
        <v>22</v>
      </c>
      <c r="E62" s="8">
        <v>45658</v>
      </c>
      <c r="F62">
        <v>60</v>
      </c>
      <c r="G62">
        <v>289</v>
      </c>
      <c r="H62">
        <v>307</v>
      </c>
      <c r="I62" s="16">
        <f t="shared" si="0"/>
        <v>-6.915629322268327E-3</v>
      </c>
      <c r="J62" s="16">
        <f>(Processed_CN_HK[[#This Row],[Value]]-B50)/B50</f>
        <v>-6.5408395704523337E-2</v>
      </c>
      <c r="K62" s="7">
        <f>Processed_CN_HK[[#This Row],[Value]]/B61 * 100</f>
        <v>99.30843706777317</v>
      </c>
      <c r="L62" s="7">
        <f>Processed_CN_HK[[#This Row],[Value]]/B50 * 100</f>
        <v>93.459160429547666</v>
      </c>
      <c r="M62" cm="1">
        <f t="array" ref="M62">ROUND( Processed_CN_HK[[#This Row],[Value]] / AVERAGE( _xlfn._xlws.FILTER(Processed_CN_HK[Value], YEAR(Processed_CN_HK[Date])=2020) ), 3) * 100</f>
        <v>75.3</v>
      </c>
      <c r="N62" s="16" cm="1">
        <f t="array" ref="N62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63" spans="1:14">
      <c r="A63" s="6">
        <f>rawData_HousePriceIndex_HK!A63</f>
        <v>45689</v>
      </c>
      <c r="B63" s="10">
        <f>rawData_HousePriceIndex_HK!B63</f>
        <v>285.60000000000002</v>
      </c>
      <c r="C63" t="s">
        <v>35</v>
      </c>
      <c r="D63" t="s">
        <v>22</v>
      </c>
      <c r="E63" s="8">
        <v>45689</v>
      </c>
      <c r="F63">
        <v>61</v>
      </c>
      <c r="G63">
        <v>287</v>
      </c>
      <c r="H63">
        <v>302</v>
      </c>
      <c r="I63" s="16">
        <f t="shared" si="0"/>
        <v>-5.5710306406684049E-3</v>
      </c>
      <c r="J63" s="16">
        <f>(Processed_CN_HK[[#This Row],[Value]]-B51)/B51</f>
        <v>-5.5555555555555407E-2</v>
      </c>
      <c r="K63" s="7">
        <f>Processed_CN_HK[[#This Row],[Value]]/B62 * 100</f>
        <v>99.442896935933163</v>
      </c>
      <c r="L63" s="7">
        <f>Processed_CN_HK[[#This Row],[Value]]/B51 * 100</f>
        <v>94.444444444444457</v>
      </c>
      <c r="M63" cm="1">
        <f t="array" ref="M63">ROUND( Processed_CN_HK[[#This Row],[Value]] / AVERAGE( _xlfn._xlws.FILTER(Processed_CN_HK[Value], YEAR(Processed_CN_HK[Date])=2020) ), 3) * 100</f>
        <v>74.900000000000006</v>
      </c>
      <c r="N63" s="16" cm="1">
        <f t="array" ref="N63" xml:space="preserve"> Processed_CN_HK[[#This Row],[Value]] / _xlfn.XLOOKUP(MIN(_xlfn._xlws.FILTER(Processed_CN_HK[Date], YEAR(Processed_CN_HK[Date])=YEAR(Processed_CN_HK[[#This Row],[Date]]))), Processed_CN_HK[Date], Processed_CN_HK[Value]) - 1</f>
        <v>-5.5710306406684396E-3</v>
      </c>
    </row>
    <row r="64" spans="1:14">
      <c r="A64" s="6">
        <f>rawData_HousePriceIndex_HK!A64</f>
        <v>45717</v>
      </c>
      <c r="B64" s="10">
        <f>rawData_HousePriceIndex_HK!B64</f>
        <v>284.89999999999998</v>
      </c>
      <c r="C64" t="s">
        <v>35</v>
      </c>
      <c r="D64" t="s">
        <v>22</v>
      </c>
      <c r="E64" s="8">
        <v>45717</v>
      </c>
      <c r="F64">
        <v>62</v>
      </c>
      <c r="G64">
        <v>286</v>
      </c>
      <c r="H64">
        <v>308</v>
      </c>
      <c r="I64" s="16">
        <f t="shared" si="0"/>
        <v>-2.4509803921570219E-3</v>
      </c>
      <c r="J64" s="16">
        <f>(Processed_CN_HK[[#This Row],[Value]]-B52)/B52</f>
        <v>-7.5300227198961511E-2</v>
      </c>
      <c r="K64" s="7">
        <f>Processed_CN_HK[[#This Row],[Value]]/B63 * 100</f>
        <v>99.754901960784295</v>
      </c>
      <c r="L64" s="7">
        <f>Processed_CN_HK[[#This Row],[Value]]/B52 * 100</f>
        <v>92.469977280103848</v>
      </c>
      <c r="M64" cm="1">
        <f t="array" ref="M64">ROUND( Processed_CN_HK[[#This Row],[Value]] / AVERAGE( _xlfn._xlws.FILTER(Processed_CN_HK[Value], YEAR(Processed_CN_HK[Date])=2020) ), 3) * 100</f>
        <v>74.7</v>
      </c>
      <c r="N64" s="16" cm="1">
        <f t="array" ref="N64" xml:space="preserve"> Processed_CN_HK[[#This Row],[Value]] / _xlfn.XLOOKUP(MIN(_xlfn._xlws.FILTER(Processed_CN_HK[Date], YEAR(Processed_CN_HK[Date])=YEAR(Processed_CN_HK[[#This Row],[Date]]))), Processed_CN_HK[Date], Processed_CN_HK[Value]) - 1</f>
        <v>-8.0083565459609929E-3</v>
      </c>
    </row>
    <row r="65" spans="1:14">
      <c r="A65" s="6">
        <f>rawData_HousePriceIndex_HK!A65</f>
        <v>45748</v>
      </c>
      <c r="B65" s="10">
        <f>rawData_HousePriceIndex_HK!B65</f>
        <v>286.5</v>
      </c>
      <c r="C65" t="s">
        <v>35</v>
      </c>
      <c r="D65" t="s">
        <v>22</v>
      </c>
      <c r="E65" s="8">
        <v>45748</v>
      </c>
      <c r="F65">
        <v>63</v>
      </c>
      <c r="G65">
        <v>285</v>
      </c>
      <c r="H65">
        <v>310</v>
      </c>
      <c r="I65" s="16">
        <f t="shared" si="0"/>
        <v>5.6160056160056964E-3</v>
      </c>
      <c r="J65" s="16">
        <f>(Processed_CN_HK[[#This Row],[Value]]-B53)/B53</f>
        <v>-7.4612403100775257E-2</v>
      </c>
      <c r="K65" s="7">
        <f>Processed_CN_HK[[#This Row],[Value]]/B64 * 100</f>
        <v>100.56160056160057</v>
      </c>
      <c r="L65" s="7">
        <f>Processed_CN_HK[[#This Row],[Value]]/B53 * 100</f>
        <v>92.538759689922472</v>
      </c>
      <c r="M65" cm="1">
        <f t="array" ref="M65">ROUND( Processed_CN_HK[[#This Row],[Value]] / AVERAGE( _xlfn._xlws.FILTER(Processed_CN_HK[Value], YEAR(Processed_CN_HK[Date])=2020) ), 3) * 100</f>
        <v>75.2</v>
      </c>
      <c r="N65" s="16" cm="1">
        <f t="array" ref="N65" xml:space="preserve"> Processed_CN_HK[[#This Row],[Value]] / _xlfn.XLOOKUP(MIN(_xlfn._xlws.FILTER(Processed_CN_HK[Date], YEAR(Processed_CN_HK[Date])=YEAR(Processed_CN_HK[[#This Row],[Date]]))), Processed_CN_HK[Date], Processed_CN_HK[Value]) - 1</f>
        <v>-2.4373259052924423E-3</v>
      </c>
    </row>
    <row r="66" spans="1:14">
      <c r="A66" s="6">
        <f>rawData_HousePriceIndex_HK!A66</f>
        <v>45778</v>
      </c>
      <c r="B66" s="10">
        <f>rawData_HousePriceIndex_HK!B66</f>
        <v>286.5</v>
      </c>
      <c r="C66" t="s">
        <v>35</v>
      </c>
      <c r="D66" t="s">
        <v>22</v>
      </c>
      <c r="E66" s="8">
        <v>45778</v>
      </c>
      <c r="F66">
        <v>64</v>
      </c>
      <c r="G66">
        <v>286</v>
      </c>
      <c r="H66">
        <v>306</v>
      </c>
      <c r="I66" s="16">
        <f t="shared" si="0"/>
        <v>0</v>
      </c>
      <c r="J66" s="16">
        <f>(Processed_CN_HK[[#This Row],[Value]]-B54)/B54</f>
        <v>-6.2193126022913256E-2</v>
      </c>
      <c r="K66" s="7">
        <f>Processed_CN_HK[[#This Row],[Value]]/B65 * 100</f>
        <v>100</v>
      </c>
      <c r="L66" s="7">
        <f>Processed_CN_HK[[#This Row],[Value]]/B54 * 100</f>
        <v>93.780687397708675</v>
      </c>
      <c r="M66" cm="1">
        <f t="array" ref="M66">ROUND( Processed_CN_HK[[#This Row],[Value]] / AVERAGE( _xlfn._xlws.FILTER(Processed_CN_HK[Value], YEAR(Processed_CN_HK[Date])=2020) ), 3) * 100</f>
        <v>75.2</v>
      </c>
      <c r="N66" s="16" cm="1">
        <f t="array" ref="N66" xml:space="preserve"> Processed_CN_HK[[#This Row],[Value]] / _xlfn.XLOOKUP(MIN(_xlfn._xlws.FILTER(Processed_CN_HK[Date], YEAR(Processed_CN_HK[Date])=YEAR(Processed_CN_HK[[#This Row],[Date]]))), Processed_CN_HK[Date], Processed_CN_HK[Value]) - 1</f>
        <v>-2.4373259052924423E-3</v>
      </c>
    </row>
    <row r="67" spans="1:14">
      <c r="A67" s="6">
        <f>rawData_HousePriceIndex_HK!A67</f>
        <v>45809</v>
      </c>
      <c r="B67" s="10">
        <f>rawData_HousePriceIndex_HK!B67</f>
        <v>286.7</v>
      </c>
      <c r="C67" t="s">
        <v>35</v>
      </c>
      <c r="D67" t="s">
        <v>22</v>
      </c>
      <c r="E67" s="8">
        <v>45809</v>
      </c>
      <c r="F67">
        <v>65</v>
      </c>
      <c r="G67">
        <v>286</v>
      </c>
      <c r="H67">
        <v>302</v>
      </c>
      <c r="I67" s="16">
        <f t="shared" si="0"/>
        <v>6.9808027923207205E-4</v>
      </c>
      <c r="J67" s="16">
        <f>(Processed_CN_HK[[#This Row],[Value]]-B55)/B55</f>
        <v>-5.2231404958677723E-2</v>
      </c>
      <c r="K67" s="7">
        <f>Processed_CN_HK[[#This Row],[Value]]/B66 * 100</f>
        <v>100.0698080279232</v>
      </c>
      <c r="L67" s="7">
        <f>Processed_CN_HK[[#This Row],[Value]]/B55 * 100</f>
        <v>94.776859504132233</v>
      </c>
      <c r="M67" cm="1">
        <f t="array" ref="M67">ROUND( Processed_CN_HK[[#This Row],[Value]] / AVERAGE( _xlfn._xlws.FILTER(Processed_CN_HK[Value], YEAR(Processed_CN_HK[Date])=2020) ), 3) * 100</f>
        <v>75.2</v>
      </c>
      <c r="N67" s="16" cm="1">
        <f t="array" ref="N67" xml:space="preserve"> Processed_CN_HK[[#This Row],[Value]] / _xlfn.XLOOKUP(MIN(_xlfn._xlws.FILTER(Processed_CN_HK[Date], YEAR(Processed_CN_HK[Date])=YEAR(Processed_CN_HK[[#This Row],[Date]]))), Processed_CN_HK[Date], Processed_CN_HK[Value]) - 1</f>
        <v>-1.7409470752088874E-3</v>
      </c>
    </row>
    <row r="68" spans="1:14">
      <c r="A68" s="6">
        <f>rawData_HousePriceIndex_HK!A68</f>
        <v>45839</v>
      </c>
      <c r="B68" s="10">
        <f>rawData_HousePriceIndex_HK!B68</f>
        <v>288.10000000000002</v>
      </c>
      <c r="C68" t="s">
        <v>35</v>
      </c>
      <c r="D68" t="s">
        <v>22</v>
      </c>
      <c r="E68" s="8">
        <v>45839</v>
      </c>
      <c r="F68">
        <v>66</v>
      </c>
      <c r="G68">
        <v>287</v>
      </c>
      <c r="H68">
        <v>298</v>
      </c>
      <c r="I68" s="16">
        <f t="shared" ref="I68:I70" si="1">(B68-B67)/B67</f>
        <v>4.8831531217301506E-3</v>
      </c>
      <c r="J68" s="16">
        <f>(Processed_CN_HK[[#This Row],[Value]]-B56)/B56</f>
        <v>-3.1922043010752688E-2</v>
      </c>
      <c r="K68" s="7">
        <f>Processed_CN_HK[[#This Row],[Value]]/B67 * 100</f>
        <v>100.48831531217301</v>
      </c>
      <c r="L68" s="7">
        <f>Processed_CN_HK[[#This Row],[Value]]/B56 * 100</f>
        <v>96.807795698924735</v>
      </c>
      <c r="M68" cm="1">
        <f t="array" ref="M68">ROUND( Processed_CN_HK[[#This Row],[Value]] / AVERAGE( _xlfn._xlws.FILTER(Processed_CN_HK[Value], YEAR(Processed_CN_HK[Date])=2020) ), 3) * 100</f>
        <v>75.599999999999994</v>
      </c>
      <c r="N68" s="16" cm="1">
        <f t="array" ref="N68" xml:space="preserve"> Processed_CN_HK[[#This Row],[Value]] / _xlfn.XLOOKUP(MIN(_xlfn._xlws.FILTER(Processed_CN_HK[Date], YEAR(Processed_CN_HK[Date])=YEAR(Processed_CN_HK[[#This Row],[Date]]))), Processed_CN_HK[Date], Processed_CN_HK[Value]) - 1</f>
        <v>3.1337047353761083E-3</v>
      </c>
    </row>
    <row r="69" spans="1:14">
      <c r="A69" s="6">
        <f>rawData_HousePriceIndex_HK!A69</f>
        <v>45870</v>
      </c>
      <c r="B69" s="10">
        <f>rawData_HousePriceIndex_HK!B69</f>
        <v>288.7</v>
      </c>
      <c r="C69" t="s">
        <v>35</v>
      </c>
      <c r="D69" t="s">
        <v>22</v>
      </c>
      <c r="E69" s="8">
        <v>45870</v>
      </c>
      <c r="F69">
        <v>67</v>
      </c>
      <c r="G69">
        <v>288</v>
      </c>
      <c r="H69">
        <v>292</v>
      </c>
      <c r="I69" s="16">
        <f t="shared" si="1"/>
        <v>2.0826102047898851E-3</v>
      </c>
      <c r="J69" s="16">
        <f>(Processed_CN_HK[[#This Row],[Value]]-B57)/B57</f>
        <v>-1.1301369863013737E-2</v>
      </c>
      <c r="K69" s="7">
        <f>Processed_CN_HK[[#This Row],[Value]]/B68 * 100</f>
        <v>100.208261020479</v>
      </c>
      <c r="L69" s="7">
        <f>Processed_CN_HK[[#This Row],[Value]]/B57 * 100</f>
        <v>98.86986301369862</v>
      </c>
      <c r="M69" cm="1">
        <f t="array" ref="M69">ROUND( Processed_CN_HK[[#This Row],[Value]] / AVERAGE( _xlfn._xlws.FILTER(Processed_CN_HK[Value], YEAR(Processed_CN_HK[Date])=2020) ), 3) * 100</f>
        <v>75.7</v>
      </c>
      <c r="N69" s="16" cm="1">
        <f t="array" ref="N69" xml:space="preserve"> Processed_CN_HK[[#This Row],[Value]] / _xlfn.XLOOKUP(MIN(_xlfn._xlws.FILTER(Processed_CN_HK[Date], YEAR(Processed_CN_HK[Date])=YEAR(Processed_CN_HK[[#This Row],[Date]]))), Processed_CN_HK[Date], Processed_CN_HK[Value]) - 1</f>
        <v>5.2228412256267731E-3</v>
      </c>
    </row>
    <row r="70" spans="1:14">
      <c r="A70" s="6">
        <f>rawData_HousePriceIndex_HK!A70</f>
        <v>45901</v>
      </c>
      <c r="B70" s="10">
        <f>rawData_HousePriceIndex_HK!B70</f>
        <v>293.39999999999998</v>
      </c>
      <c r="C70" t="s">
        <v>35</v>
      </c>
      <c r="E70" s="8"/>
      <c r="I70" s="16">
        <f t="shared" si="1"/>
        <v>1.6279875303082746E-2</v>
      </c>
      <c r="J70" s="16">
        <f>(Processed_CN_HK[[#This Row],[Value]]-B58)/B58</f>
        <v>1.9103855505383814E-2</v>
      </c>
      <c r="K70" s="7">
        <f>Processed_CN_HK[[#This Row],[Value]]/B69 * 100</f>
        <v>101.62798753030829</v>
      </c>
      <c r="L70" s="7">
        <f>Processed_CN_HK[[#This Row],[Value]]/B58 * 100</f>
        <v>101.91038555053838</v>
      </c>
      <c r="M70" cm="1">
        <f t="array" ref="M70">ROUND( Processed_CN_HK[[#This Row],[Value]] / AVERAGE( _xlfn._xlws.FILTER(Processed_CN_HK[Value], YEAR(Processed_CN_HK[Date])=2020) ), 3) * 100</f>
        <v>77</v>
      </c>
      <c r="N70" s="16" cm="1">
        <f t="array" ref="N70" xml:space="preserve"> Processed_CN_HK[[#This Row],[Value]] / _xlfn.XLOOKUP(MIN(_xlfn._xlws.FILTER(Processed_CN_HK[Date], YEAR(Processed_CN_HK[Date])=YEAR(Processed_CN_HK[[#This Row],[Date]]))), Processed_CN_HK[Date], Processed_CN_HK[Value]) - 1</f>
        <v>2.1587743732590425E-2</v>
      </c>
    </row>
    <row r="71" spans="1:14">
      <c r="A71" s="6">
        <f>rawData_HousePriceIndex_HK!A71</f>
        <v>45931</v>
      </c>
      <c r="B71" s="10">
        <f>rawData_HousePriceIndex_HK!B71</f>
        <v>294.89999999999998</v>
      </c>
      <c r="C71" t="s">
        <v>35</v>
      </c>
      <c r="D71" t="s">
        <v>22</v>
      </c>
      <c r="E71" s="8">
        <v>45871</v>
      </c>
      <c r="F71">
        <v>67</v>
      </c>
      <c r="G71">
        <v>288</v>
      </c>
      <c r="H71">
        <v>292</v>
      </c>
      <c r="I71" s="16">
        <f t="shared" ref="I71:I72" si="2">(B71-B70)/B70</f>
        <v>5.1124744376278121E-3</v>
      </c>
      <c r="J71" s="16">
        <f>(Processed_CN_HK[[#This Row],[Value]]-B59)/B59</f>
        <v>1.3402061855670024E-2</v>
      </c>
      <c r="K71" s="7">
        <f>Processed_CN_HK[[#This Row],[Value]]/B70 * 100</f>
        <v>100.51124744376278</v>
      </c>
      <c r="L71" s="7">
        <f>Processed_CN_HK[[#This Row],[Value]]/B59 * 100</f>
        <v>101.34020618556701</v>
      </c>
      <c r="M71" cm="1">
        <f t="array" ref="M71">ROUND( Processed_CN_HK[[#This Row],[Value]] / AVERAGE( _xlfn._xlws.FILTER(Processed_CN_HK[Value], YEAR(Processed_CN_HK[Date])=2020) ), 3) * 100</f>
        <v>77.400000000000006</v>
      </c>
      <c r="N71" s="16" cm="1">
        <f t="array" ref="N71" xml:space="preserve"> Processed_CN_HK[[#This Row],[Value]] / _xlfn.XLOOKUP(MIN(_xlfn._xlws.FILTER(Processed_CN_HK[Date], YEAR(Processed_CN_HK[Date])=YEAR(Processed_CN_HK[[#This Row],[Date]]))), Processed_CN_HK[Date], Processed_CN_HK[Value]) - 1</f>
        <v>2.6810584958217198E-2</v>
      </c>
    </row>
    <row r="72" spans="1:14">
      <c r="A72" s="6">
        <f>rawData_HousePriceIndex_HK!A72</f>
        <v>45962</v>
      </c>
      <c r="B72" s="10">
        <f>rawData_HousePriceIndex_HK!B72</f>
        <v>298.7</v>
      </c>
      <c r="C72" t="s">
        <v>35</v>
      </c>
      <c r="E72" s="8"/>
      <c r="I72" s="16">
        <f t="shared" si="2"/>
        <v>1.2885723974228592E-2</v>
      </c>
      <c r="J72" s="16">
        <f>(Processed_CN_HK[[#This Row],[Value]]-B60)/B60</f>
        <v>2.469982847341334E-2</v>
      </c>
      <c r="K72" s="7">
        <f>Processed_CN_HK[[#This Row],[Value]]/B71 * 100</f>
        <v>101.28857239742285</v>
      </c>
      <c r="L72" s="7">
        <f>Processed_CN_HK[[#This Row],[Value]]/B60 * 100</f>
        <v>102.46998284734133</v>
      </c>
      <c r="M72" cm="1">
        <f t="array" ref="M72">ROUND( Processed_CN_HK[[#This Row],[Value]] / AVERAGE( _xlfn._xlws.FILTER(Processed_CN_HK[Value], YEAR(Processed_CN_HK[Date])=2020) ), 3) * 100</f>
        <v>78.400000000000006</v>
      </c>
      <c r="N72" s="16" cm="1">
        <f t="array" ref="N72" xml:space="preserve"> Processed_CN_HK[[#This Row],[Value]] / _xlfn.XLOOKUP(MIN(_xlfn._xlws.FILTER(Processed_CN_HK[Date], YEAR(Processed_CN_HK[Date])=YEAR(Processed_CN_HK[[#This Row],[Date]]))), Processed_CN_HK[Date], Processed_CN_HK[Value]) - 1</f>
        <v>4.0041782729804964E-2</v>
      </c>
    </row>
    <row r="73" spans="1:14">
      <c r="A73" s="6">
        <f>rawData_HousePriceIndex_HK!A73</f>
        <v>45992</v>
      </c>
      <c r="B73" s="10">
        <f>rawData_HousePriceIndex_HK!B73</f>
        <v>299.60000000000002</v>
      </c>
      <c r="C73" t="s">
        <v>35</v>
      </c>
      <c r="D73" t="s">
        <v>22</v>
      </c>
      <c r="E73" s="8">
        <v>45872</v>
      </c>
      <c r="F73">
        <v>67</v>
      </c>
      <c r="G73">
        <v>288</v>
      </c>
      <c r="H73">
        <v>292</v>
      </c>
      <c r="I73" s="16">
        <f t="shared" ref="I73:I76" si="3">(B73-B72)/B72</f>
        <v>3.0130565785069772E-3</v>
      </c>
      <c r="J73" s="16">
        <f>(Processed_CN_HK[[#This Row],[Value]]-B61)/B61</f>
        <v>3.5961272475795419E-2</v>
      </c>
      <c r="K73" s="7">
        <f>Processed_CN_HK[[#This Row],[Value]]/B72 * 100</f>
        <v>100.30130565785069</v>
      </c>
      <c r="L73" s="7">
        <f>Processed_CN_HK[[#This Row],[Value]]/B61 * 100</f>
        <v>103.59612724757955</v>
      </c>
      <c r="M73" cm="1">
        <f t="array" ref="M73">ROUND( Processed_CN_HK[[#This Row],[Value]] / AVERAGE( _xlfn._xlws.FILTER(Processed_CN_HK[Value], YEAR(Processed_CN_HK[Date])=2020) ), 3) * 100</f>
        <v>78.600000000000009</v>
      </c>
      <c r="N73" s="16" cm="1">
        <f t="array" ref="N73" xml:space="preserve"> Processed_CN_HK[[#This Row],[Value]] / _xlfn.XLOOKUP(MIN(_xlfn._xlws.FILTER(Processed_CN_HK[Date], YEAR(Processed_CN_HK[Date])=YEAR(Processed_CN_HK[[#This Row],[Date]]))), Processed_CN_HK[Date], Processed_CN_HK[Value]) - 1</f>
        <v>4.3175487465181073E-2</v>
      </c>
    </row>
    <row r="74" spans="1:14">
      <c r="A74" s="6">
        <f>rawData_HousePriceIndex_HK!A74</f>
        <v>46023</v>
      </c>
      <c r="B74" s="10">
        <f>rawData_HousePriceIndex_HK!B74</f>
        <v>303</v>
      </c>
      <c r="C74" t="s">
        <v>35</v>
      </c>
      <c r="E74" s="8"/>
      <c r="I74" s="16">
        <f t="shared" si="3"/>
        <v>1.134846461949258E-2</v>
      </c>
      <c r="J74" s="16">
        <f>(Processed_CN_HK[[#This Row],[Value]]-B62)/B62</f>
        <v>5.5013927576601715E-2</v>
      </c>
      <c r="K74" s="7">
        <f>Processed_CN_HK[[#This Row],[Value]]/B73 * 100</f>
        <v>101.13484646194925</v>
      </c>
      <c r="L74" s="7">
        <f>Processed_CN_HK[[#This Row],[Value]]/B62 * 100</f>
        <v>105.50139275766017</v>
      </c>
      <c r="M74" cm="1">
        <f t="array" ref="M74">ROUND( Processed_CN_HK[[#This Row],[Value]] / AVERAGE( _xlfn._xlws.FILTER(Processed_CN_HK[Value], YEAR(Processed_CN_HK[Date])=2020) ), 3) * 100</f>
        <v>79.5</v>
      </c>
      <c r="N74" s="16" cm="1">
        <f t="array" ref="N74" xml:space="preserve"> Processed_CN_HK[[#This Row],[Value]] / _xlfn.XLOOKUP(MIN(_xlfn._xlws.FILTER(Processed_CN_HK[Date], YEAR(Processed_CN_HK[Date])=YEAR(Processed_CN_HK[[#This Row],[Date]]))), Processed_CN_HK[Date], Processed_CN_HK[Value]) - 1</f>
        <v>0</v>
      </c>
    </row>
    <row r="75" spans="1:14">
      <c r="A75" s="6">
        <f>rawData_HousePriceIndex_HK!A75</f>
        <v>46054</v>
      </c>
      <c r="B75" s="10">
        <f>rawData_HousePriceIndex_HK!B75</f>
        <v>308.5</v>
      </c>
      <c r="C75" t="s">
        <v>35</v>
      </c>
      <c r="D75" t="s">
        <v>22</v>
      </c>
      <c r="E75" s="8">
        <v>45873</v>
      </c>
      <c r="F75">
        <v>67</v>
      </c>
      <c r="G75">
        <v>288</v>
      </c>
      <c r="H75">
        <v>292</v>
      </c>
      <c r="I75" s="16">
        <f t="shared" si="3"/>
        <v>1.8151815181518153E-2</v>
      </c>
      <c r="J75" s="16">
        <f>(Processed_CN_HK[[#This Row],[Value]]-B63)/B63</f>
        <v>8.0182072829131562E-2</v>
      </c>
      <c r="K75" s="7">
        <f>Processed_CN_HK[[#This Row],[Value]]/B74 * 100</f>
        <v>101.8151815181518</v>
      </c>
      <c r="L75" s="7">
        <f>Processed_CN_HK[[#This Row],[Value]]/B63 * 100</f>
        <v>108.01820728291315</v>
      </c>
      <c r="M75" cm="1">
        <f t="array" ref="M75">ROUND( Processed_CN_HK[[#This Row],[Value]] / AVERAGE( _xlfn._xlws.FILTER(Processed_CN_HK[Value], YEAR(Processed_CN_HK[Date])=2020) ), 3) * 100</f>
        <v>80.900000000000006</v>
      </c>
      <c r="N75" s="16" cm="1">
        <f t="array" ref="N75" xml:space="preserve"> Processed_CN_HK[[#This Row],[Value]] / _xlfn.XLOOKUP(MIN(_xlfn._xlws.FILTER(Processed_CN_HK[Date], YEAR(Processed_CN_HK[Date])=YEAR(Processed_CN_HK[[#This Row],[Date]]))), Processed_CN_HK[Date], Processed_CN_HK[Value]) - 1</f>
        <v>1.8151815181518094E-2</v>
      </c>
    </row>
    <row r="76" spans="1:14">
      <c r="A76" s="6">
        <f>rawData_HousePriceIndex_HK!A76</f>
        <v>46082</v>
      </c>
      <c r="B76" s="10">
        <f>rawData_HousePriceIndex_HK!B76</f>
        <v>312.8</v>
      </c>
      <c r="C76" t="s">
        <v>35</v>
      </c>
      <c r="E76" s="8"/>
      <c r="I76" s="16">
        <f t="shared" si="3"/>
        <v>1.3938411669367946E-2</v>
      </c>
      <c r="J76" s="16">
        <f>(Processed_CN_HK[[#This Row],[Value]]-B64)/B64</f>
        <v>9.7929097929098055E-2</v>
      </c>
      <c r="K76" s="7">
        <f>Processed_CN_HK[[#This Row],[Value]]/B75 * 100</f>
        <v>101.3938411669368</v>
      </c>
      <c r="L76" s="7">
        <f>Processed_CN_HK[[#This Row],[Value]]/B64 * 100</f>
        <v>109.79290979290981</v>
      </c>
      <c r="M76" cm="1">
        <f t="array" ref="M76">ROUND( Processed_CN_HK[[#This Row],[Value]] / AVERAGE( _xlfn._xlws.FILTER(Processed_CN_HK[Value], YEAR(Processed_CN_HK[Date])=2020) ), 3) * 100</f>
        <v>82.1</v>
      </c>
      <c r="N76" s="16" cm="1">
        <f t="array" ref="N76" xml:space="preserve"> Processed_CN_HK[[#This Row],[Value]] / _xlfn.XLOOKUP(MIN(_xlfn._xlws.FILTER(Processed_CN_HK[Date], YEAR(Processed_CN_HK[Date])=YEAR(Processed_CN_HK[[#This Row],[Date]]))), Processed_CN_HK[Date], Processed_CN_HK[Value]) - 1</f>
        <v>3.2343234323432446E-2</v>
      </c>
    </row>
    <row r="77" spans="1:14">
      <c r="A77" s="6">
        <f>rawData_HousePriceIndex_HK!A77</f>
        <v>46113</v>
      </c>
      <c r="B77" s="10">
        <f>rawData_HousePriceIndex_HK!B77</f>
        <v>316.60000000000002</v>
      </c>
      <c r="C77" t="s">
        <v>35</v>
      </c>
      <c r="D77" t="s">
        <v>22</v>
      </c>
      <c r="E77" s="8">
        <v>45874</v>
      </c>
      <c r="F77">
        <v>67</v>
      </c>
      <c r="G77">
        <v>288</v>
      </c>
      <c r="H77">
        <v>292</v>
      </c>
      <c r="I77" s="16">
        <f t="shared" ref="I77" si="4">(B77-B76)/B76</f>
        <v>1.2148337595907964E-2</v>
      </c>
      <c r="J77" s="16">
        <f>(Processed_CN_HK[[#This Row],[Value]]-B65)/B65</f>
        <v>0.10506108202443289</v>
      </c>
      <c r="K77" s="7">
        <f>Processed_CN_HK[[#This Row],[Value]]/B76 * 100</f>
        <v>101.21483375959079</v>
      </c>
      <c r="L77" s="7">
        <f>Processed_CN_HK[[#This Row],[Value]]/B65 * 100</f>
        <v>110.50610820244329</v>
      </c>
      <c r="M77" cm="1">
        <f t="array" ref="M77">ROUND( Processed_CN_HK[[#This Row],[Value]] / AVERAGE( _xlfn._xlws.FILTER(Processed_CN_HK[Value], YEAR(Processed_CN_HK[Date])=2020) ), 3) * 100</f>
        <v>83.1</v>
      </c>
      <c r="N77" s="16" cm="1">
        <f t="array" ref="N77" xml:space="preserve"> Processed_CN_HK[[#This Row],[Value]] / _xlfn.XLOOKUP(MIN(_xlfn._xlws.FILTER(Processed_CN_HK[Date], YEAR(Processed_CN_HK[Date])=YEAR(Processed_CN_HK[[#This Row],[Date]]))), Processed_CN_HK[Date], Processed_CN_HK[Value]) - 1</f>
        <v>4.488448844884485E-2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FF24-D6EE-8F4D-AB5E-F4F62FCFEC7D}">
  <dimension ref="A1:N76"/>
  <sheetViews>
    <sheetView topLeftCell="A66" workbookViewId="0">
      <selection activeCell="A75" sqref="A75:N76"/>
    </sheetView>
  </sheetViews>
  <sheetFormatPr defaultColWidth="10.78125" defaultRowHeight="27.5"/>
  <cols>
    <col min="1" max="1" width="9.4765625" bestFit="1" customWidth="1"/>
    <col min="2" max="2" width="7.0859375" style="7" bestFit="1" customWidth="1"/>
    <col min="3" max="3" width="8.34765625" bestFit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671875" style="16" bestFit="1" customWidth="1"/>
    <col min="10" max="10" width="8.2578125" style="16" bestFit="1" customWidth="1"/>
    <col min="11" max="11" width="10.390625" bestFit="1" customWidth="1"/>
    <col min="12" max="12" width="14.171875" bestFit="1" customWidth="1"/>
    <col min="13" max="13" width="17.0859375" customWidth="1"/>
    <col min="14" max="14" width="10.78125" style="16"/>
  </cols>
  <sheetData>
    <row r="1" spans="1:14">
      <c r="A1" t="s">
        <v>14</v>
      </c>
      <c r="B1" s="7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s="16" t="s">
        <v>32</v>
      </c>
      <c r="J1" s="16" t="s">
        <v>33</v>
      </c>
      <c r="K1" t="s">
        <v>0</v>
      </c>
      <c r="L1" t="s">
        <v>1</v>
      </c>
      <c r="M1" t="s">
        <v>41</v>
      </c>
      <c r="N1" s="16" t="s">
        <v>34</v>
      </c>
    </row>
    <row r="2" spans="1:14">
      <c r="A2" s="6">
        <f>rawData_HousePriceIndex_US!A2</f>
        <v>43831</v>
      </c>
      <c r="B2" s="21">
        <f>rawData_HousePriceIndex_US!B2</f>
        <v>272.61399999999998</v>
      </c>
      <c r="C2" t="s">
        <v>36</v>
      </c>
      <c r="D2" t="s">
        <v>22</v>
      </c>
      <c r="E2" s="8">
        <v>43831</v>
      </c>
      <c r="F2">
        <v>0</v>
      </c>
      <c r="K2" s="7"/>
      <c r="L2" s="7"/>
      <c r="M2" cm="1">
        <f t="array" ref="M2">ROUND( Processed_US_CA[[#This Row],[Value]] / AVERAGE( _xlfn._xlws.FILTER(Processed_US_CA[Value], YEAR(Processed_US_CA[Date])=2020) ), 3) * 100</f>
        <v>97.7</v>
      </c>
      <c r="N2" s="16" cm="1">
        <f t="array" ref="N2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3" spans="1:14">
      <c r="A3" s="6">
        <f>rawData_HousePriceIndex_US!A3</f>
        <v>43862</v>
      </c>
      <c r="B3" s="21">
        <f>rawData_HousePriceIndex_US!B3</f>
        <v>273.303</v>
      </c>
      <c r="C3" t="s">
        <v>36</v>
      </c>
      <c r="D3" t="s">
        <v>22</v>
      </c>
      <c r="E3" s="8">
        <v>43862</v>
      </c>
      <c r="F3">
        <v>1</v>
      </c>
      <c r="G3">
        <v>212</v>
      </c>
      <c r="I3" s="16">
        <f>(B3-B2)/B2</f>
        <v>2.527383039755924E-3</v>
      </c>
      <c r="K3" s="7">
        <f>Processed_US_CA[[#This Row],[Value]]/B2 * 100</f>
        <v>100.25273830397559</v>
      </c>
      <c r="L3" s="7"/>
      <c r="M3" cm="1">
        <f t="array" ref="M3">ROUND( Processed_US_CA[[#This Row],[Value]] / AVERAGE( _xlfn._xlws.FILTER(Processed_US_CA[Value], YEAR(Processed_US_CA[Date])=2020) ), 3) * 100</f>
        <v>98</v>
      </c>
      <c r="N3" s="16" cm="1">
        <f t="array" ref="N3" xml:space="preserve"> Processed_US_CA[[#This Row],[Value]] / _xlfn.XLOOKUP(MIN(_xlfn._xlws.FILTER(Processed_US_CA[Date], YEAR(Processed_US_CA[Date])=YEAR(Processed_US_CA[[#This Row],[Date]]))), Processed_US_CA[Date], Processed_US_CA[Value]) - 1</f>
        <v>2.5273830397558594E-3</v>
      </c>
    </row>
    <row r="4" spans="1:14">
      <c r="A4" s="6">
        <f>rawData_HousePriceIndex_US!A4</f>
        <v>43891</v>
      </c>
      <c r="B4" s="21">
        <f>rawData_HousePriceIndex_US!B4</f>
        <v>273.32400000000001</v>
      </c>
      <c r="C4" t="s">
        <v>36</v>
      </c>
      <c r="D4" t="s">
        <v>22</v>
      </c>
      <c r="E4" s="8">
        <v>43891</v>
      </c>
      <c r="F4">
        <v>2</v>
      </c>
      <c r="G4">
        <v>213</v>
      </c>
      <c r="I4" s="16">
        <f t="shared" ref="I4:I67" si="0">(B4-B3)/B3</f>
        <v>7.683779541393621E-5</v>
      </c>
      <c r="K4" s="7">
        <f>Processed_US_CA[[#This Row],[Value]]/B3 * 100</f>
        <v>100.0076837795414</v>
      </c>
      <c r="L4" s="7"/>
      <c r="M4" cm="1">
        <f t="array" ref="M4">ROUND( Processed_US_CA[[#This Row],[Value]] / AVERAGE( _xlfn._xlws.FILTER(Processed_US_CA[Value], YEAR(Processed_US_CA[Date])=2020) ), 3) * 100</f>
        <v>98</v>
      </c>
      <c r="N4" s="16" cm="1">
        <f t="array" ref="N4" xml:space="preserve"> Processed_US_CA[[#This Row],[Value]] / _xlfn.XLOOKUP(MIN(_xlfn._xlws.FILTER(Processed_US_CA[Date], YEAR(Processed_US_CA[Date])=YEAR(Processed_US_CA[[#This Row],[Date]]))), Processed_US_CA[Date], Processed_US_CA[Value]) - 1</f>
        <v>2.604415033710783E-3</v>
      </c>
    </row>
    <row r="5" spans="1:14">
      <c r="A5" s="6">
        <f>rawData_HousePriceIndex_US!A5</f>
        <v>43922</v>
      </c>
      <c r="B5" s="21">
        <f>rawData_HousePriceIndex_US!B5</f>
        <v>271.45999999999998</v>
      </c>
      <c r="C5" t="s">
        <v>36</v>
      </c>
      <c r="D5" t="s">
        <v>22</v>
      </c>
      <c r="E5" s="8">
        <v>43922</v>
      </c>
      <c r="F5">
        <v>3</v>
      </c>
      <c r="G5">
        <v>215</v>
      </c>
      <c r="I5" s="16">
        <f t="shared" si="0"/>
        <v>-6.8197450644657352E-3</v>
      </c>
      <c r="K5" s="7">
        <f>Processed_US_CA[[#This Row],[Value]]/B4 * 100</f>
        <v>99.318025493553435</v>
      </c>
      <c r="L5" s="7"/>
      <c r="M5" cm="1">
        <f t="array" ref="M5">ROUND( Processed_US_CA[[#This Row],[Value]] / AVERAGE( _xlfn._xlws.FILTER(Processed_US_CA[Value], YEAR(Processed_US_CA[Date])=2020) ), 3) * 100</f>
        <v>97.3</v>
      </c>
      <c r="N5" s="16" cm="1">
        <f t="array" ref="N5" xml:space="preserve"> Processed_US_CA[[#This Row],[Value]] / _xlfn.XLOOKUP(MIN(_xlfn._xlws.FILTER(Processed_US_CA[Date], YEAR(Processed_US_CA[Date])=YEAR(Processed_US_CA[[#This Row],[Date]]))), Processed_US_CA[Date], Processed_US_CA[Value]) - 1</f>
        <v>-4.2330914773268669E-3</v>
      </c>
    </row>
    <row r="6" spans="1:14">
      <c r="A6" s="6">
        <f>rawData_HousePriceIndex_US!A6</f>
        <v>43952</v>
      </c>
      <c r="B6" s="21">
        <f>rawData_HousePriceIndex_US!B6</f>
        <v>270.27100000000002</v>
      </c>
      <c r="C6" t="s">
        <v>36</v>
      </c>
      <c r="D6" t="s">
        <v>22</v>
      </c>
      <c r="E6" s="8">
        <v>43952</v>
      </c>
      <c r="F6">
        <v>4</v>
      </c>
      <c r="G6">
        <v>217</v>
      </c>
      <c r="I6" s="16">
        <f t="shared" si="0"/>
        <v>-4.3800191556765808E-3</v>
      </c>
      <c r="K6" s="7">
        <f>Processed_US_CA[[#This Row],[Value]]/B5 * 100</f>
        <v>99.561998084432346</v>
      </c>
      <c r="L6" s="7"/>
      <c r="M6" cm="1">
        <f t="array" ref="M6">ROUND( Processed_US_CA[[#This Row],[Value]] / AVERAGE( _xlfn._xlws.FILTER(Processed_US_CA[Value], YEAR(Processed_US_CA[Date])=2020) ), 3) * 100</f>
        <v>96.899999999999991</v>
      </c>
      <c r="N6" s="16" cm="1">
        <f t="array" ref="N6" xml:space="preserve"> Processed_US_CA[[#This Row],[Value]] / _xlfn.XLOOKUP(MIN(_xlfn._xlws.FILTER(Processed_US_CA[Date], YEAR(Processed_US_CA[Date])=YEAR(Processed_US_CA[[#This Row],[Date]]))), Processed_US_CA[Date], Processed_US_CA[Value]) - 1</f>
        <v>-8.5945696112450509E-3</v>
      </c>
    </row>
    <row r="7" spans="1:14">
      <c r="A7" s="6">
        <f>rawData_HousePriceIndex_US!A7</f>
        <v>43983</v>
      </c>
      <c r="B7" s="21">
        <f>rawData_HousePriceIndex_US!B7</f>
        <v>269.68</v>
      </c>
      <c r="C7" t="s">
        <v>36</v>
      </c>
      <c r="D7" t="s">
        <v>22</v>
      </c>
      <c r="E7" s="8">
        <v>43983</v>
      </c>
      <c r="F7">
        <v>5</v>
      </c>
      <c r="G7">
        <v>218</v>
      </c>
      <c r="I7" s="16">
        <f t="shared" si="0"/>
        <v>-2.186694095925971E-3</v>
      </c>
      <c r="K7" s="7">
        <f>Processed_US_CA[[#This Row],[Value]]/B6 * 100</f>
        <v>99.781330590407407</v>
      </c>
      <c r="L7" s="7"/>
      <c r="M7" cm="1">
        <f t="array" ref="M7">ROUND( Processed_US_CA[[#This Row],[Value]] / AVERAGE( _xlfn._xlws.FILTER(Processed_US_CA[Value], YEAR(Processed_US_CA[Date])=2020) ), 3) * 100</f>
        <v>96.7</v>
      </c>
      <c r="N7" s="16" cm="1">
        <f t="array" ref="N7" xml:space="preserve"> Processed_US_CA[[#This Row],[Value]] / _xlfn.XLOOKUP(MIN(_xlfn._xlws.FILTER(Processed_US_CA[Date], YEAR(Processed_US_CA[Date])=YEAR(Processed_US_CA[[#This Row],[Date]]))), Processed_US_CA[Date], Processed_US_CA[Value]) - 1</f>
        <v>-1.0762470012545045E-2</v>
      </c>
    </row>
    <row r="8" spans="1:14">
      <c r="A8" s="6">
        <f>rawData_HousePriceIndex_US!A8</f>
        <v>44013</v>
      </c>
      <c r="B8" s="21">
        <f>rawData_HousePriceIndex_US!B8</f>
        <v>273.28699999999998</v>
      </c>
      <c r="C8" t="s">
        <v>36</v>
      </c>
      <c r="D8" t="s">
        <v>22</v>
      </c>
      <c r="E8" s="8">
        <v>44013</v>
      </c>
      <c r="F8">
        <v>6</v>
      </c>
      <c r="G8">
        <v>220</v>
      </c>
      <c r="I8" s="16">
        <f t="shared" si="0"/>
        <v>1.3375111242954504E-2</v>
      </c>
      <c r="K8" s="7">
        <f>Processed_US_CA[[#This Row],[Value]]/B7 * 100</f>
        <v>101.33751112429546</v>
      </c>
      <c r="L8" s="7"/>
      <c r="M8" cm="1">
        <f t="array" ref="M8">ROUND( Processed_US_CA[[#This Row],[Value]] / AVERAGE( _xlfn._xlws.FILTER(Processed_US_CA[Value], YEAR(Processed_US_CA[Date])=2020) ), 3) * 100</f>
        <v>98</v>
      </c>
      <c r="N8" s="16" cm="1">
        <f t="array" ref="N8" xml:space="preserve"> Processed_US_CA[[#This Row],[Value]] / _xlfn.XLOOKUP(MIN(_xlfn._xlws.FILTER(Processed_US_CA[Date], YEAR(Processed_US_CA[Date])=YEAR(Processed_US_CA[[#This Row],[Date]]))), Processed_US_CA[Date], Processed_US_CA[Value]) - 1</f>
        <v>2.4686919967427112E-3</v>
      </c>
    </row>
    <row r="9" spans="1:14">
      <c r="A9" s="6">
        <f>rawData_HousePriceIndex_US!A9</f>
        <v>44044</v>
      </c>
      <c r="B9" s="21">
        <f>rawData_HousePriceIndex_US!B9</f>
        <v>278.50200000000001</v>
      </c>
      <c r="C9" t="s">
        <v>36</v>
      </c>
      <c r="D9" t="s">
        <v>22</v>
      </c>
      <c r="E9" s="8">
        <v>44044</v>
      </c>
      <c r="F9">
        <v>7</v>
      </c>
      <c r="G9">
        <v>222</v>
      </c>
      <c r="I9" s="16">
        <f t="shared" si="0"/>
        <v>1.9082503009656634E-2</v>
      </c>
      <c r="K9" s="7">
        <f>Processed_US_CA[[#This Row],[Value]]/B8 * 100</f>
        <v>101.90825030096566</v>
      </c>
      <c r="L9" s="7"/>
      <c r="M9" cm="1">
        <f t="array" ref="M9">ROUND( Processed_US_CA[[#This Row],[Value]] / AVERAGE( _xlfn._xlws.FILTER(Processed_US_CA[Value], YEAR(Processed_US_CA[Date])=2020) ), 3) * 100</f>
        <v>99.8</v>
      </c>
      <c r="N9" s="16" cm="1">
        <f t="array" ref="N9" xml:space="preserve"> Processed_US_CA[[#This Row],[Value]] / _xlfn.XLOOKUP(MIN(_xlfn._xlws.FILTER(Processed_US_CA[Date], YEAR(Processed_US_CA[Date])=YEAR(Processed_US_CA[[#This Row],[Date]]))), Processed_US_CA[Date], Processed_US_CA[Value]) - 1</f>
        <v>2.1598303828856968E-2</v>
      </c>
    </row>
    <row r="10" spans="1:14">
      <c r="A10" s="6">
        <f>rawData_HousePriceIndex_US!A10</f>
        <v>44075</v>
      </c>
      <c r="B10" s="21">
        <f>rawData_HousePriceIndex_US!B10</f>
        <v>284.28699999999998</v>
      </c>
      <c r="C10" t="s">
        <v>36</v>
      </c>
      <c r="D10" t="s">
        <v>22</v>
      </c>
      <c r="E10" s="8">
        <v>44075</v>
      </c>
      <c r="F10">
        <v>8</v>
      </c>
      <c r="G10">
        <v>224</v>
      </c>
      <c r="I10" s="16">
        <f t="shared" si="0"/>
        <v>2.0771843649237592E-2</v>
      </c>
      <c r="K10" s="7">
        <f>Processed_US_CA[[#This Row],[Value]]/B9 * 100</f>
        <v>102.07718436492377</v>
      </c>
      <c r="L10" s="7"/>
      <c r="M10" cm="1">
        <f t="array" ref="M10">ROUND( Processed_US_CA[[#This Row],[Value]] / AVERAGE( _xlfn._xlws.FILTER(Processed_US_CA[Value], YEAR(Processed_US_CA[Date])=2020) ), 3) * 100</f>
        <v>101.89999999999999</v>
      </c>
      <c r="N10" s="16" cm="1">
        <f t="array" ref="N10" xml:space="preserve"> Processed_US_CA[[#This Row],[Value]] / _xlfn.XLOOKUP(MIN(_xlfn._xlws.FILTER(Processed_US_CA[Date], YEAR(Processed_US_CA[Date])=YEAR(Processed_US_CA[[#This Row],[Date]]))), Processed_US_CA[Date], Processed_US_CA[Value]) - 1</f>
        <v>4.2818784068316296E-2</v>
      </c>
    </row>
    <row r="11" spans="1:14">
      <c r="A11" s="6">
        <f>rawData_HousePriceIndex_US!A11</f>
        <v>44105</v>
      </c>
      <c r="B11" s="21">
        <f>rawData_HousePriceIndex_US!B11</f>
        <v>289.90600000000001</v>
      </c>
      <c r="C11" t="s">
        <v>36</v>
      </c>
      <c r="D11" t="s">
        <v>22</v>
      </c>
      <c r="E11" s="8">
        <v>44105</v>
      </c>
      <c r="F11">
        <v>9</v>
      </c>
      <c r="G11">
        <v>227</v>
      </c>
      <c r="I11" s="16">
        <f t="shared" si="0"/>
        <v>1.9765237242645738E-2</v>
      </c>
      <c r="K11" s="7">
        <f>Processed_US_CA[[#This Row],[Value]]/B10 * 100</f>
        <v>101.97652372426458</v>
      </c>
      <c r="L11" s="7"/>
      <c r="M11" cm="1">
        <f t="array" ref="M11">ROUND( Processed_US_CA[[#This Row],[Value]] / AVERAGE( _xlfn._xlws.FILTER(Processed_US_CA[Value], YEAR(Processed_US_CA[Date])=2020) ), 3) * 100</f>
        <v>103.89999999999999</v>
      </c>
      <c r="N11" s="16" cm="1">
        <f t="array" ref="N11" xml:space="preserve"> Processed_US_CA[[#This Row],[Value]] / _xlfn.XLOOKUP(MIN(_xlfn._xlws.FILTER(Processed_US_CA[Date], YEAR(Processed_US_CA[Date])=YEAR(Processed_US_CA[[#This Row],[Date]]))), Processed_US_CA[Date], Processed_US_CA[Value]) - 1</f>
        <v>6.3430344736514099E-2</v>
      </c>
    </row>
    <row r="12" spans="1:14">
      <c r="A12" s="6">
        <f>rawData_HousePriceIndex_US!A12</f>
        <v>44136</v>
      </c>
      <c r="B12" s="21">
        <f>rawData_HousePriceIndex_US!B12</f>
        <v>294.09899999999999</v>
      </c>
      <c r="C12" t="s">
        <v>36</v>
      </c>
      <c r="D12" t="s">
        <v>22</v>
      </c>
      <c r="E12" s="8">
        <v>44136</v>
      </c>
      <c r="F12">
        <v>10</v>
      </c>
      <c r="G12">
        <v>230</v>
      </c>
      <c r="I12" s="16">
        <f t="shared" si="0"/>
        <v>1.4463308796644373E-2</v>
      </c>
      <c r="K12" s="7">
        <f>Processed_US_CA[[#This Row],[Value]]/B11 * 100</f>
        <v>101.44633087966443</v>
      </c>
      <c r="L12" s="7"/>
      <c r="M12" cm="1">
        <f t="array" ref="M12">ROUND( Processed_US_CA[[#This Row],[Value]] / AVERAGE( _xlfn._xlws.FILTER(Processed_US_CA[Value], YEAR(Processed_US_CA[Date])=2020) ), 3) * 100</f>
        <v>105.4</v>
      </c>
      <c r="N12" s="16" cm="1">
        <f t="array" ref="N12" xml:space="preserve"> Processed_US_CA[[#This Row],[Value]] / _xlfn.XLOOKUP(MIN(_xlfn._xlws.FILTER(Processed_US_CA[Date], YEAR(Processed_US_CA[Date])=YEAR(Processed_US_CA[[#This Row],[Date]]))), Processed_US_CA[Date], Processed_US_CA[Value]) - 1</f>
        <v>7.8811066196160295E-2</v>
      </c>
    </row>
    <row r="13" spans="1:14">
      <c r="A13" s="6">
        <f>rawData_HousePriceIndex_US!A13</f>
        <v>44166</v>
      </c>
      <c r="B13" s="21">
        <f>rawData_HousePriceIndex_US!B13</f>
        <v>297.09399999999999</v>
      </c>
      <c r="C13" t="s">
        <v>36</v>
      </c>
      <c r="D13" t="s">
        <v>22</v>
      </c>
      <c r="E13" s="8">
        <v>44166</v>
      </c>
      <c r="F13">
        <v>11</v>
      </c>
      <c r="G13">
        <v>232</v>
      </c>
      <c r="I13" s="16">
        <f t="shared" si="0"/>
        <v>1.0183645643133791E-2</v>
      </c>
      <c r="K13" s="7">
        <f>Processed_US_CA[[#This Row],[Value]]/B12 * 100</f>
        <v>101.01836456431339</v>
      </c>
      <c r="L13" s="7"/>
      <c r="M13" cm="1">
        <f t="array" ref="M13">ROUND( Processed_US_CA[[#This Row],[Value]] / AVERAGE( _xlfn._xlws.FILTER(Processed_US_CA[Value], YEAR(Processed_US_CA[Date])=2020) ), 3) * 100</f>
        <v>106.5</v>
      </c>
      <c r="N13" s="16" cm="1">
        <f t="array" ref="N13" xml:space="preserve"> Processed_US_CA[[#This Row],[Value]] / _xlfn.XLOOKUP(MIN(_xlfn._xlws.FILTER(Processed_US_CA[Date], YEAR(Processed_US_CA[Date])=YEAR(Processed_US_CA[[#This Row],[Date]]))), Processed_US_CA[Date], Processed_US_CA[Value]) - 1</f>
        <v>8.9797295810193134E-2</v>
      </c>
    </row>
    <row r="14" spans="1:14">
      <c r="A14" s="6">
        <f>rawData_HousePriceIndex_US!A14</f>
        <v>44197</v>
      </c>
      <c r="B14" s="21">
        <f>rawData_HousePriceIndex_US!B14</f>
        <v>300.80900000000003</v>
      </c>
      <c r="C14" t="s">
        <v>36</v>
      </c>
      <c r="D14" t="s">
        <v>22</v>
      </c>
      <c r="E14" s="8">
        <v>44197</v>
      </c>
      <c r="F14">
        <v>12</v>
      </c>
      <c r="G14">
        <v>234</v>
      </c>
      <c r="H14">
        <v>212</v>
      </c>
      <c r="I14" s="16">
        <f t="shared" si="0"/>
        <v>1.2504459867920698E-2</v>
      </c>
      <c r="J14" s="16">
        <f>(Processed_US_CA[[#This Row],[Value]]-B2)/B2</f>
        <v>0.10342462235982031</v>
      </c>
      <c r="K14" s="7">
        <f>Processed_US_CA[[#This Row],[Value]]/B13 * 100</f>
        <v>101.25044598679207</v>
      </c>
      <c r="L14" s="7">
        <f>Processed_US_CA[[#This Row],[Value]]/B2 * 100</f>
        <v>110.34246223598203</v>
      </c>
      <c r="M14" cm="1">
        <f t="array" ref="M14">ROUND( Processed_US_CA[[#This Row],[Value]] / AVERAGE( _xlfn._xlws.FILTER(Processed_US_CA[Value], YEAR(Processed_US_CA[Date])=2020) ), 3) * 100</f>
        <v>107.80000000000001</v>
      </c>
      <c r="N14" s="16" cm="1">
        <f t="array" ref="N14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15" spans="1:14">
      <c r="A15" s="6">
        <f>rawData_HousePriceIndex_US!A15</f>
        <v>44228</v>
      </c>
      <c r="B15" s="21">
        <f>rawData_HousePriceIndex_US!B15</f>
        <v>303.50200000000001</v>
      </c>
      <c r="C15" t="s">
        <v>36</v>
      </c>
      <c r="D15" t="s">
        <v>22</v>
      </c>
      <c r="E15" s="8">
        <v>44228</v>
      </c>
      <c r="F15">
        <v>13</v>
      </c>
      <c r="G15">
        <v>236</v>
      </c>
      <c r="H15">
        <v>213</v>
      </c>
      <c r="I15" s="16">
        <f t="shared" si="0"/>
        <v>8.9525246917478637E-3</v>
      </c>
      <c r="J15" s="16">
        <f>(Processed_US_CA[[#This Row],[Value]]-B3)/B3</f>
        <v>0.1104964087478001</v>
      </c>
      <c r="K15" s="7">
        <f>Processed_US_CA[[#This Row],[Value]]/B14 * 100</f>
        <v>100.89525246917479</v>
      </c>
      <c r="L15" s="7">
        <f>Processed_US_CA[[#This Row],[Value]]/B3 * 100</f>
        <v>111.04964087478002</v>
      </c>
      <c r="M15" cm="1">
        <f t="array" ref="M15">ROUND( Processed_US_CA[[#This Row],[Value]] / AVERAGE( _xlfn._xlws.FILTER(Processed_US_CA[Value], YEAR(Processed_US_CA[Date])=2020) ), 3) * 100</f>
        <v>108.80000000000001</v>
      </c>
      <c r="N15" s="16" cm="1">
        <f t="array" ref="N15" xml:space="preserve"> Processed_US_CA[[#This Row],[Value]] / _xlfn.XLOOKUP(MIN(_xlfn._xlws.FILTER(Processed_US_CA[Date], YEAR(Processed_US_CA[Date])=YEAR(Processed_US_CA[[#This Row],[Date]]))), Processed_US_CA[Date], Processed_US_CA[Value]) - 1</f>
        <v>8.9525246917478984E-3</v>
      </c>
    </row>
    <row r="16" spans="1:14">
      <c r="A16" s="6">
        <f>rawData_HousePriceIndex_US!A16</f>
        <v>44256</v>
      </c>
      <c r="B16" s="21">
        <f>rawData_HousePriceIndex_US!B16</f>
        <v>306.33499999999998</v>
      </c>
      <c r="C16" t="s">
        <v>36</v>
      </c>
      <c r="D16" t="s">
        <v>22</v>
      </c>
      <c r="E16" s="8">
        <v>44256</v>
      </c>
      <c r="F16">
        <v>14</v>
      </c>
      <c r="G16">
        <v>239</v>
      </c>
      <c r="H16">
        <v>215</v>
      </c>
      <c r="I16" s="16">
        <f t="shared" si="0"/>
        <v>9.3343701194719304E-3</v>
      </c>
      <c r="J16" s="16">
        <f>(Processed_US_CA[[#This Row],[Value]]-B4)/B4</f>
        <v>0.12077607528061922</v>
      </c>
      <c r="K16" s="7">
        <f>Processed_US_CA[[#This Row],[Value]]/B15 * 100</f>
        <v>100.93343701194719</v>
      </c>
      <c r="L16" s="7">
        <f>Processed_US_CA[[#This Row],[Value]]/B4 * 100</f>
        <v>112.07760752806193</v>
      </c>
      <c r="M16" cm="1">
        <f t="array" ref="M16">ROUND( Processed_US_CA[[#This Row],[Value]] / AVERAGE( _xlfn._xlws.FILTER(Processed_US_CA[Value], YEAR(Processed_US_CA[Date])=2020) ), 3) * 100</f>
        <v>109.80000000000001</v>
      </c>
      <c r="N16" s="16" cm="1">
        <f t="array" ref="N16" xml:space="preserve"> Processed_US_CA[[#This Row],[Value]] / _xlfn.XLOOKUP(MIN(_xlfn._xlws.FILTER(Processed_US_CA[Date], YEAR(Processed_US_CA[Date])=YEAR(Processed_US_CA[[#This Row],[Date]]))), Processed_US_CA[Date], Processed_US_CA[Value]) - 1</f>
        <v>1.8370460990196236E-2</v>
      </c>
    </row>
    <row r="17" spans="1:14">
      <c r="A17" s="6">
        <f>rawData_HousePriceIndex_US!A17</f>
        <v>44287</v>
      </c>
      <c r="B17" s="21">
        <f>rawData_HousePriceIndex_US!B17</f>
        <v>311.57799999999997</v>
      </c>
      <c r="C17" t="s">
        <v>36</v>
      </c>
      <c r="D17" t="s">
        <v>22</v>
      </c>
      <c r="E17" s="8">
        <v>44287</v>
      </c>
      <c r="F17">
        <v>15</v>
      </c>
      <c r="G17">
        <v>244</v>
      </c>
      <c r="H17">
        <v>217</v>
      </c>
      <c r="I17" s="16">
        <f t="shared" si="0"/>
        <v>1.7115249644996475E-2</v>
      </c>
      <c r="J17" s="16">
        <f>(Processed_US_CA[[#This Row],[Value]]-B5)/B5</f>
        <v>0.14778604582627275</v>
      </c>
      <c r="K17" s="7">
        <f>Processed_US_CA[[#This Row],[Value]]/B16 * 100</f>
        <v>101.71152496449965</v>
      </c>
      <c r="L17" s="7">
        <f>Processed_US_CA[[#This Row],[Value]]/B5 * 100</f>
        <v>114.77860458262728</v>
      </c>
      <c r="M17" cm="1">
        <f t="array" ref="M17">ROUND( Processed_US_CA[[#This Row],[Value]] / AVERAGE( _xlfn._xlws.FILTER(Processed_US_CA[Value], YEAR(Processed_US_CA[Date])=2020) ), 3) * 100</f>
        <v>111.7</v>
      </c>
      <c r="N17" s="16" cm="1">
        <f t="array" ref="N17" xml:space="preserve"> Processed_US_CA[[#This Row],[Value]] / _xlfn.XLOOKUP(MIN(_xlfn._xlws.FILTER(Processed_US_CA[Date], YEAR(Processed_US_CA[Date])=YEAR(Processed_US_CA[[#This Row],[Date]]))), Processed_US_CA[Date], Processed_US_CA[Value]) - 1</f>
        <v>3.5800125661133553E-2</v>
      </c>
    </row>
    <row r="18" spans="1:14">
      <c r="A18" s="6">
        <f>rawData_HousePriceIndex_US!A18</f>
        <v>44317</v>
      </c>
      <c r="B18" s="21">
        <f>rawData_HousePriceIndex_US!B18</f>
        <v>318.35399999999998</v>
      </c>
      <c r="C18" t="s">
        <v>36</v>
      </c>
      <c r="D18" t="s">
        <v>22</v>
      </c>
      <c r="E18" s="8">
        <v>44317</v>
      </c>
      <c r="F18">
        <v>16</v>
      </c>
      <c r="G18">
        <v>250</v>
      </c>
      <c r="H18">
        <v>218</v>
      </c>
      <c r="I18" s="16">
        <f t="shared" si="0"/>
        <v>2.1747363421037464E-2</v>
      </c>
      <c r="J18" s="16">
        <f>(Processed_US_CA[[#This Row],[Value]]-B6)/B6</f>
        <v>0.17790661965212681</v>
      </c>
      <c r="K18" s="7">
        <f>Processed_US_CA[[#This Row],[Value]]/B17 * 100</f>
        <v>102.17473634210374</v>
      </c>
      <c r="L18" s="7">
        <f>Processed_US_CA[[#This Row],[Value]]/B6 * 100</f>
        <v>117.79066196521268</v>
      </c>
      <c r="M18" cm="1">
        <f t="array" ref="M18">ROUND( Processed_US_CA[[#This Row],[Value]] / AVERAGE( _xlfn._xlws.FILTER(Processed_US_CA[Value], YEAR(Processed_US_CA[Date])=2020) ), 3) * 100</f>
        <v>114.1</v>
      </c>
      <c r="N18" s="16" cm="1">
        <f t="array" ref="N18" xml:space="preserve"> Processed_US_CA[[#This Row],[Value]] / _xlfn.XLOOKUP(MIN(_xlfn._xlws.FILTER(Processed_US_CA[Date], YEAR(Processed_US_CA[Date])=YEAR(Processed_US_CA[[#This Row],[Date]]))), Processed_US_CA[Date], Processed_US_CA[Value]) - 1</f>
        <v>5.8326047425442562E-2</v>
      </c>
    </row>
    <row r="19" spans="1:14">
      <c r="A19" s="6">
        <f>rawData_HousePriceIndex_US!A19</f>
        <v>44348</v>
      </c>
      <c r="B19" s="21">
        <f>rawData_HousePriceIndex_US!B19</f>
        <v>327.73500000000001</v>
      </c>
      <c r="C19" t="s">
        <v>36</v>
      </c>
      <c r="D19" t="s">
        <v>22</v>
      </c>
      <c r="E19" s="8">
        <v>44348</v>
      </c>
      <c r="F19">
        <v>17</v>
      </c>
      <c r="G19">
        <v>255</v>
      </c>
      <c r="H19">
        <v>220</v>
      </c>
      <c r="I19" s="16">
        <f t="shared" si="0"/>
        <v>2.9467196894023724E-2</v>
      </c>
      <c r="J19" s="16">
        <f>(Processed_US_CA[[#This Row],[Value]]-B7)/B7</f>
        <v>0.21527365766834769</v>
      </c>
      <c r="K19" s="7">
        <f>Processed_US_CA[[#This Row],[Value]]/B18 * 100</f>
        <v>102.94671968940237</v>
      </c>
      <c r="L19" s="7">
        <f>Processed_US_CA[[#This Row],[Value]]/B7 * 100</f>
        <v>121.52736576683476</v>
      </c>
      <c r="M19" cm="1">
        <f t="array" ref="M19">ROUND( Processed_US_CA[[#This Row],[Value]] / AVERAGE( _xlfn._xlws.FILTER(Processed_US_CA[Value], YEAR(Processed_US_CA[Date])=2020) ), 3) * 100</f>
        <v>117.5</v>
      </c>
      <c r="N19" s="16" cm="1">
        <f t="array" ref="N19" xml:space="preserve"> Processed_US_CA[[#This Row],[Value]] / _xlfn.XLOOKUP(MIN(_xlfn._xlws.FILTER(Processed_US_CA[Date], YEAR(Processed_US_CA[Date])=YEAR(Processed_US_CA[[#This Row],[Date]]))), Processed_US_CA[Date], Processed_US_CA[Value]) - 1</f>
        <v>8.9511949443001892E-2</v>
      </c>
    </row>
    <row r="20" spans="1:14">
      <c r="A20" s="6">
        <f>rawData_HousePriceIndex_US!A20</f>
        <v>44378</v>
      </c>
      <c r="B20" s="21">
        <f>rawData_HousePriceIndex_US!B20</f>
        <v>332.589</v>
      </c>
      <c r="C20" t="s">
        <v>36</v>
      </c>
      <c r="D20" t="s">
        <v>22</v>
      </c>
      <c r="E20" s="8">
        <v>44378</v>
      </c>
      <c r="F20">
        <v>18</v>
      </c>
      <c r="G20">
        <v>261</v>
      </c>
      <c r="H20">
        <v>222</v>
      </c>
      <c r="I20" s="16">
        <f t="shared" si="0"/>
        <v>1.4810746487253374E-2</v>
      </c>
      <c r="J20" s="16">
        <f>(Processed_US_CA[[#This Row],[Value]]-B8)/B8</f>
        <v>0.21699531993837989</v>
      </c>
      <c r="K20" s="7">
        <f>Processed_US_CA[[#This Row],[Value]]/B19 * 100</f>
        <v>101.48107464872534</v>
      </c>
      <c r="L20" s="7">
        <f>Processed_US_CA[[#This Row],[Value]]/B8 * 100</f>
        <v>121.69953199383798</v>
      </c>
      <c r="M20" cm="1">
        <f t="array" ref="M20">ROUND( Processed_US_CA[[#This Row],[Value]] / AVERAGE( _xlfn._xlws.FILTER(Processed_US_CA[Value], YEAR(Processed_US_CA[Date])=2020) ), 3) * 100</f>
        <v>119.19999999999999</v>
      </c>
      <c r="N20" s="16" cm="1">
        <f t="array" ref="N20" xml:space="preserve"> Processed_US_CA[[#This Row],[Value]] / _xlfn.XLOOKUP(MIN(_xlfn._xlws.FILTER(Processed_US_CA[Date], YEAR(Processed_US_CA[Date])=YEAR(Processed_US_CA[[#This Row],[Date]]))), Processed_US_CA[Date], Processed_US_CA[Value]) - 1</f>
        <v>0.10564843472103558</v>
      </c>
    </row>
    <row r="21" spans="1:14">
      <c r="A21" s="6">
        <f>rawData_HousePriceIndex_US!A21</f>
        <v>44409</v>
      </c>
      <c r="B21" s="21">
        <f>rawData_HousePriceIndex_US!B21</f>
        <v>337.61500000000001</v>
      </c>
      <c r="C21" t="s">
        <v>36</v>
      </c>
      <c r="D21" t="s">
        <v>22</v>
      </c>
      <c r="E21" s="8">
        <v>44409</v>
      </c>
      <c r="F21">
        <v>19</v>
      </c>
      <c r="G21">
        <v>265</v>
      </c>
      <c r="H21">
        <v>224</v>
      </c>
      <c r="I21" s="16">
        <f t="shared" si="0"/>
        <v>1.5111744525525529E-2</v>
      </c>
      <c r="J21" s="16">
        <f>(Processed_US_CA[[#This Row],[Value]]-B9)/B9</f>
        <v>0.21225341290188221</v>
      </c>
      <c r="K21" s="7">
        <f>Processed_US_CA[[#This Row],[Value]]/B20 * 100</f>
        <v>101.51117445255255</v>
      </c>
      <c r="L21" s="7">
        <f>Processed_US_CA[[#This Row],[Value]]/B9 * 100</f>
        <v>121.22534129018823</v>
      </c>
      <c r="M21" cm="1">
        <f t="array" ref="M21">ROUND( Processed_US_CA[[#This Row],[Value]] / AVERAGE( _xlfn._xlws.FILTER(Processed_US_CA[Value], YEAR(Processed_US_CA[Date])=2020) ), 3) * 100</f>
        <v>121</v>
      </c>
      <c r="N21" s="16" cm="1">
        <f t="array" ref="N21" xml:space="preserve"> Processed_US_CA[[#This Row],[Value]] / _xlfn.XLOOKUP(MIN(_xlfn._xlws.FILTER(Processed_US_CA[Date], YEAR(Processed_US_CA[Date])=YEAR(Processed_US_CA[[#This Row],[Date]]))), Processed_US_CA[Date], Processed_US_CA[Value]) - 1</f>
        <v>0.12235671140158688</v>
      </c>
    </row>
    <row r="22" spans="1:14">
      <c r="A22" s="6">
        <f>rawData_HousePriceIndex_US!A22</f>
        <v>44440</v>
      </c>
      <c r="B22" s="21">
        <f>rawData_HousePriceIndex_US!B22</f>
        <v>340.86099999999999</v>
      </c>
      <c r="C22" t="s">
        <v>36</v>
      </c>
      <c r="D22" t="s">
        <v>22</v>
      </c>
      <c r="E22" s="8">
        <v>44440</v>
      </c>
      <c r="F22">
        <v>20</v>
      </c>
      <c r="G22">
        <v>269</v>
      </c>
      <c r="H22">
        <v>227</v>
      </c>
      <c r="I22" s="16">
        <f t="shared" si="0"/>
        <v>9.6145017253379764E-3</v>
      </c>
      <c r="J22" s="16">
        <f>(Processed_US_CA[[#This Row],[Value]]-B10)/B10</f>
        <v>0.19900312008639162</v>
      </c>
      <c r="K22" s="7">
        <f>Processed_US_CA[[#This Row],[Value]]/B21 * 100</f>
        <v>100.9614501725338</v>
      </c>
      <c r="L22" s="7">
        <f>Processed_US_CA[[#This Row],[Value]]/B10 * 100</f>
        <v>119.90031200863915</v>
      </c>
      <c r="M22" cm="1">
        <f t="array" ref="M22">ROUND( Processed_US_CA[[#This Row],[Value]] / AVERAGE( _xlfn._xlws.FILTER(Processed_US_CA[Value], YEAR(Processed_US_CA[Date])=2020) ), 3) * 100</f>
        <v>122.2</v>
      </c>
      <c r="N22" s="16" cm="1">
        <f t="array" ref="N22" xml:space="preserve"> Processed_US_CA[[#This Row],[Value]] / _xlfn.XLOOKUP(MIN(_xlfn._xlws.FILTER(Processed_US_CA[Date], YEAR(Processed_US_CA[Date])=YEAR(Processed_US_CA[[#This Row],[Date]]))), Processed_US_CA[Date], Processed_US_CA[Value]) - 1</f>
        <v>0.13314761193980229</v>
      </c>
    </row>
    <row r="23" spans="1:14">
      <c r="A23" s="6">
        <f>rawData_HousePriceIndex_US!A23</f>
        <v>44470</v>
      </c>
      <c r="B23" s="21">
        <f>rawData_HousePriceIndex_US!B23</f>
        <v>344.29599999999999</v>
      </c>
      <c r="C23" t="s">
        <v>36</v>
      </c>
      <c r="D23" t="s">
        <v>22</v>
      </c>
      <c r="E23" s="8">
        <v>44470</v>
      </c>
      <c r="F23">
        <v>21</v>
      </c>
      <c r="G23">
        <v>271</v>
      </c>
      <c r="H23">
        <v>230</v>
      </c>
      <c r="I23" s="16">
        <f t="shared" si="0"/>
        <v>1.0077421588272059E-2</v>
      </c>
      <c r="J23" s="16">
        <f>(Processed_US_CA[[#This Row],[Value]]-B11)/B11</f>
        <v>0.18761253647734089</v>
      </c>
      <c r="K23" s="7">
        <f>Processed_US_CA[[#This Row],[Value]]/B22 * 100</f>
        <v>101.0077421588272</v>
      </c>
      <c r="L23" s="7">
        <f>Processed_US_CA[[#This Row],[Value]]/B11 * 100</f>
        <v>118.76125364773409</v>
      </c>
      <c r="M23" cm="1">
        <f t="array" ref="M23">ROUND( Processed_US_CA[[#This Row],[Value]] / AVERAGE( _xlfn._xlws.FILTER(Processed_US_CA[Value], YEAR(Processed_US_CA[Date])=2020) ), 3) * 100</f>
        <v>123.4</v>
      </c>
      <c r="N23" s="16" cm="1">
        <f t="array" ref="N23" xml:space="preserve"> Processed_US_CA[[#This Row],[Value]] / _xlfn.XLOOKUP(MIN(_xlfn._xlws.FILTER(Processed_US_CA[Date], YEAR(Processed_US_CA[Date])=YEAR(Processed_US_CA[[#This Row],[Date]]))), Processed_US_CA[Date], Processed_US_CA[Value]) - 1</f>
        <v>0.1445668181470634</v>
      </c>
    </row>
    <row r="24" spans="1:14">
      <c r="A24" s="6">
        <f>rawData_HousePriceIndex_US!A24</f>
        <v>44501</v>
      </c>
      <c r="B24" s="21">
        <f>rawData_HousePriceIndex_US!B24</f>
        <v>348.67</v>
      </c>
      <c r="C24" t="s">
        <v>36</v>
      </c>
      <c r="D24" t="s">
        <v>22</v>
      </c>
      <c r="E24" s="8">
        <v>44501</v>
      </c>
      <c r="F24">
        <v>22</v>
      </c>
      <c r="G24">
        <v>274</v>
      </c>
      <c r="H24">
        <v>232</v>
      </c>
      <c r="I24" s="16">
        <f t="shared" si="0"/>
        <v>1.2704184771243418E-2</v>
      </c>
      <c r="J24" s="16">
        <f>(Processed_US_CA[[#This Row],[Value]]-B12)/B12</f>
        <v>0.18555316407060218</v>
      </c>
      <c r="K24" s="7">
        <f>Processed_US_CA[[#This Row],[Value]]/B23 * 100</f>
        <v>101.27041847712435</v>
      </c>
      <c r="L24" s="7">
        <f>Processed_US_CA[[#This Row],[Value]]/B12 * 100</f>
        <v>118.5553164070602</v>
      </c>
      <c r="M24" cm="1">
        <f t="array" ref="M24">ROUND( Processed_US_CA[[#This Row],[Value]] / AVERAGE( _xlfn._xlws.FILTER(Processed_US_CA[Value], YEAR(Processed_US_CA[Date])=2020) ), 3) * 100</f>
        <v>125</v>
      </c>
      <c r="N24" s="16" cm="1">
        <f t="array" ref="N24" xml:space="preserve"> Processed_US_CA[[#This Row],[Value]] / _xlfn.XLOOKUP(MIN(_xlfn._xlws.FILTER(Processed_US_CA[Date], YEAR(Processed_US_CA[Date])=YEAR(Processed_US_CA[[#This Row],[Date]]))), Processed_US_CA[Date], Processed_US_CA[Value]) - 1</f>
        <v>0.15910760648783784</v>
      </c>
    </row>
    <row r="25" spans="1:14">
      <c r="A25" s="6">
        <f>rawData_HousePriceIndex_US!A25</f>
        <v>44531</v>
      </c>
      <c r="B25" s="21">
        <f>rawData_HousePriceIndex_US!B25</f>
        <v>354.26</v>
      </c>
      <c r="C25" t="s">
        <v>36</v>
      </c>
      <c r="D25" t="s">
        <v>22</v>
      </c>
      <c r="E25" s="8">
        <v>44531</v>
      </c>
      <c r="F25">
        <v>23</v>
      </c>
      <c r="G25">
        <v>276</v>
      </c>
      <c r="H25">
        <v>234</v>
      </c>
      <c r="I25" s="16">
        <f t="shared" si="0"/>
        <v>1.6032351507155689E-2</v>
      </c>
      <c r="J25" s="16">
        <f>(Processed_US_CA[[#This Row],[Value]]-B13)/B13</f>
        <v>0.19241721475357967</v>
      </c>
      <c r="K25" s="7">
        <f>Processed_US_CA[[#This Row],[Value]]/B24 * 100</f>
        <v>101.60323515071556</v>
      </c>
      <c r="L25" s="7">
        <f>Processed_US_CA[[#This Row],[Value]]/B13 * 100</f>
        <v>119.24172147535796</v>
      </c>
      <c r="M25" cm="1">
        <f t="array" ref="M25">ROUND( Processed_US_CA[[#This Row],[Value]] / AVERAGE( _xlfn._xlws.FILTER(Processed_US_CA[Value], YEAR(Processed_US_CA[Date])=2020) ), 3) * 100</f>
        <v>127</v>
      </c>
      <c r="N25" s="16" cm="1">
        <f t="array" ref="N25" xml:space="preserve"> Processed_US_CA[[#This Row],[Value]] / _xlfn.XLOOKUP(MIN(_xlfn._xlws.FILTER(Processed_US_CA[Date], YEAR(Processed_US_CA[Date])=YEAR(Processed_US_CA[[#This Row],[Date]]))), Processed_US_CA[Date], Processed_US_CA[Value]) - 1</f>
        <v>0.17769082706966866</v>
      </c>
    </row>
    <row r="26" spans="1:14">
      <c r="A26" s="6">
        <f>rawData_HousePriceIndex_US!A26</f>
        <v>44562</v>
      </c>
      <c r="B26" s="21">
        <f>rawData_HousePriceIndex_US!B26</f>
        <v>364.57499999999999</v>
      </c>
      <c r="C26" t="s">
        <v>36</v>
      </c>
      <c r="D26" t="s">
        <v>22</v>
      </c>
      <c r="E26" s="8">
        <v>44562</v>
      </c>
      <c r="F26">
        <v>24</v>
      </c>
      <c r="G26">
        <v>279</v>
      </c>
      <c r="H26">
        <v>236</v>
      </c>
      <c r="I26" s="16">
        <f t="shared" si="0"/>
        <v>2.911703268785637E-2</v>
      </c>
      <c r="J26" s="16">
        <f>(Processed_US_CA[[#This Row],[Value]]-B14)/B14</f>
        <v>0.21198168937764481</v>
      </c>
      <c r="K26" s="7">
        <f>Processed_US_CA[[#This Row],[Value]]/B25 * 100</f>
        <v>102.91170326878564</v>
      </c>
      <c r="L26" s="7">
        <f>Processed_US_CA[[#This Row],[Value]]/B14 * 100</f>
        <v>121.19816893776448</v>
      </c>
      <c r="M26" cm="1">
        <f t="array" ref="M26">ROUND( Processed_US_CA[[#This Row],[Value]] / AVERAGE( _xlfn._xlws.FILTER(Processed_US_CA[Value], YEAR(Processed_US_CA[Date])=2020) ), 3) * 100</f>
        <v>130.69999999999999</v>
      </c>
      <c r="N26" s="16" cm="1">
        <f t="array" ref="N26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27" spans="1:14">
      <c r="A27" s="6">
        <f>rawData_HousePriceIndex_US!A27</f>
        <v>44593</v>
      </c>
      <c r="B27" s="21">
        <f>rawData_HousePriceIndex_US!B27</f>
        <v>372.99799999999999</v>
      </c>
      <c r="C27" t="s">
        <v>36</v>
      </c>
      <c r="D27" t="s">
        <v>22</v>
      </c>
      <c r="E27" s="8">
        <v>44593</v>
      </c>
      <c r="F27">
        <v>25</v>
      </c>
      <c r="G27">
        <v>282</v>
      </c>
      <c r="H27">
        <v>239</v>
      </c>
      <c r="I27" s="16">
        <f t="shared" si="0"/>
        <v>2.3103613796886791E-2</v>
      </c>
      <c r="J27" s="16">
        <f>(Processed_US_CA[[#This Row],[Value]]-B15)/B15</f>
        <v>0.22898036915736958</v>
      </c>
      <c r="K27" s="7">
        <f>Processed_US_CA[[#This Row],[Value]]/B26 * 100</f>
        <v>102.31036137968867</v>
      </c>
      <c r="L27" s="7">
        <f>Processed_US_CA[[#This Row],[Value]]/B15 * 100</f>
        <v>122.89803691573695</v>
      </c>
      <c r="M27" cm="1">
        <f t="array" ref="M27">ROUND( Processed_US_CA[[#This Row],[Value]] / AVERAGE( _xlfn._xlws.FILTER(Processed_US_CA[Value], YEAR(Processed_US_CA[Date])=2020) ), 3) * 100</f>
        <v>133.69999999999999</v>
      </c>
      <c r="N27" s="16" cm="1">
        <f t="array" ref="N27" xml:space="preserve"> Processed_US_CA[[#This Row],[Value]] / _xlfn.XLOOKUP(MIN(_xlfn._xlws.FILTER(Processed_US_CA[Date], YEAR(Processed_US_CA[Date])=YEAR(Processed_US_CA[[#This Row],[Date]]))), Processed_US_CA[Date], Processed_US_CA[Value]) - 1</f>
        <v>2.3103613796886746E-2</v>
      </c>
    </row>
    <row r="28" spans="1:14">
      <c r="A28" s="6">
        <f>rawData_HousePriceIndex_US!A28</f>
        <v>44621</v>
      </c>
      <c r="B28" s="21">
        <f>rawData_HousePriceIndex_US!B28</f>
        <v>379.42200000000003</v>
      </c>
      <c r="C28" t="s">
        <v>36</v>
      </c>
      <c r="D28" t="s">
        <v>22</v>
      </c>
      <c r="E28" s="8">
        <v>44621</v>
      </c>
      <c r="F28">
        <v>26</v>
      </c>
      <c r="G28">
        <v>287</v>
      </c>
      <c r="H28">
        <v>244</v>
      </c>
      <c r="I28" s="16">
        <f t="shared" si="0"/>
        <v>1.7222612453686174E-2</v>
      </c>
      <c r="J28" s="16">
        <f>(Processed_US_CA[[#This Row],[Value]]-B16)/B16</f>
        <v>0.23858520900321559</v>
      </c>
      <c r="K28" s="7">
        <f>Processed_US_CA[[#This Row],[Value]]/B27 * 100</f>
        <v>101.72226124536863</v>
      </c>
      <c r="L28" s="7">
        <f>Processed_US_CA[[#This Row],[Value]]/B16 * 100</f>
        <v>123.85852090032157</v>
      </c>
      <c r="M28" cm="1">
        <f t="array" ref="M28">ROUND( Processed_US_CA[[#This Row],[Value]] / AVERAGE( _xlfn._xlws.FILTER(Processed_US_CA[Value], YEAR(Processed_US_CA[Date])=2020) ), 3) * 100</f>
        <v>136</v>
      </c>
      <c r="N28" s="16" cm="1">
        <f t="array" ref="N28" xml:space="preserve"> Processed_US_CA[[#This Row],[Value]] / _xlfn.XLOOKUP(MIN(_xlfn._xlws.FILTER(Processed_US_CA[Date], YEAR(Processed_US_CA[Date])=YEAR(Processed_US_CA[[#This Row],[Date]]))), Processed_US_CA[Date], Processed_US_CA[Value]) - 1</f>
        <v>4.0724130837276329E-2</v>
      </c>
    </row>
    <row r="29" spans="1:14">
      <c r="A29" s="6">
        <f>rawData_HousePriceIndex_US!A29</f>
        <v>44652</v>
      </c>
      <c r="B29" s="21">
        <f>rawData_HousePriceIndex_US!B29</f>
        <v>381.59800000000001</v>
      </c>
      <c r="C29" t="s">
        <v>36</v>
      </c>
      <c r="D29" t="s">
        <v>22</v>
      </c>
      <c r="E29" s="8">
        <v>44652</v>
      </c>
      <c r="F29">
        <v>27</v>
      </c>
      <c r="G29">
        <v>295</v>
      </c>
      <c r="H29">
        <v>250</v>
      </c>
      <c r="I29" s="16">
        <f t="shared" si="0"/>
        <v>5.7350390857672656E-3</v>
      </c>
      <c r="J29" s="16">
        <f>(Processed_US_CA[[#This Row],[Value]]-B17)/B17</f>
        <v>0.22472703464301089</v>
      </c>
      <c r="K29" s="7">
        <f>Processed_US_CA[[#This Row],[Value]]/B28 * 100</f>
        <v>100.57350390857674</v>
      </c>
      <c r="L29" s="7">
        <f>Processed_US_CA[[#This Row],[Value]]/B17 * 100</f>
        <v>122.47270346430108</v>
      </c>
      <c r="M29" cm="1">
        <f t="array" ref="M29">ROUND( Processed_US_CA[[#This Row],[Value]] / AVERAGE( _xlfn._xlws.FILTER(Processed_US_CA[Value], YEAR(Processed_US_CA[Date])=2020) ), 3) * 100</f>
        <v>136.80000000000001</v>
      </c>
      <c r="N29" s="16" cm="1">
        <f t="array" ref="N29" xml:space="preserve"> Processed_US_CA[[#This Row],[Value]] / _xlfn.XLOOKUP(MIN(_xlfn._xlws.FILTER(Processed_US_CA[Date], YEAR(Processed_US_CA[Date])=YEAR(Processed_US_CA[[#This Row],[Date]]))), Processed_US_CA[Date], Processed_US_CA[Value]) - 1</f>
        <v>4.6692724405129393E-2</v>
      </c>
    </row>
    <row r="30" spans="1:14">
      <c r="A30" s="6">
        <f>rawData_HousePriceIndex_US!A30</f>
        <v>44682</v>
      </c>
      <c r="B30" s="21">
        <f>rawData_HousePriceIndex_US!B30</f>
        <v>383.10599999999999</v>
      </c>
      <c r="C30" t="s">
        <v>36</v>
      </c>
      <c r="D30" t="s">
        <v>22</v>
      </c>
      <c r="E30" s="8">
        <v>44682</v>
      </c>
      <c r="F30">
        <v>28</v>
      </c>
      <c r="G30">
        <v>302</v>
      </c>
      <c r="H30">
        <v>255</v>
      </c>
      <c r="I30" s="16">
        <f t="shared" si="0"/>
        <v>3.9518026824039466E-3</v>
      </c>
      <c r="J30" s="16">
        <f>(Processed_US_CA[[#This Row],[Value]]-B18)/B18</f>
        <v>0.20339621930304005</v>
      </c>
      <c r="K30" s="7">
        <f>Processed_US_CA[[#This Row],[Value]]/B29 * 100</f>
        <v>100.3951802682404</v>
      </c>
      <c r="L30" s="7">
        <f>Processed_US_CA[[#This Row],[Value]]/B18 * 100</f>
        <v>120.33962193030401</v>
      </c>
      <c r="M30" cm="1">
        <f t="array" ref="M30">ROUND( Processed_US_CA[[#This Row],[Value]] / AVERAGE( _xlfn._xlws.FILTER(Processed_US_CA[Value], YEAR(Processed_US_CA[Date])=2020) ), 3) * 100</f>
        <v>137.30000000000001</v>
      </c>
      <c r="N30" s="16" cm="1">
        <f t="array" ref="N30" xml:space="preserve"> Processed_US_CA[[#This Row],[Value]] / _xlfn.XLOOKUP(MIN(_xlfn._xlws.FILTER(Processed_US_CA[Date], YEAR(Processed_US_CA[Date])=YEAR(Processed_US_CA[[#This Row],[Date]]))), Processed_US_CA[Date], Processed_US_CA[Value]) - 1</f>
        <v>5.082904752108619E-2</v>
      </c>
    </row>
    <row r="31" spans="1:14">
      <c r="A31" s="6">
        <f>rawData_HousePriceIndex_US!A31</f>
        <v>44713</v>
      </c>
      <c r="B31" s="21">
        <f>rawData_HousePriceIndex_US!B31</f>
        <v>379.25200000000001</v>
      </c>
      <c r="C31" t="s">
        <v>36</v>
      </c>
      <c r="D31" t="s">
        <v>22</v>
      </c>
      <c r="E31" s="8">
        <v>44713</v>
      </c>
      <c r="F31">
        <v>29</v>
      </c>
      <c r="G31">
        <v>306</v>
      </c>
      <c r="H31">
        <v>261</v>
      </c>
      <c r="I31" s="16">
        <f t="shared" si="0"/>
        <v>-1.0059878989104805E-2</v>
      </c>
      <c r="J31" s="16">
        <f>(Processed_US_CA[[#This Row],[Value]]-B19)/B19</f>
        <v>0.15719102323523576</v>
      </c>
      <c r="K31" s="7">
        <f>Processed_US_CA[[#This Row],[Value]]/B30 * 100</f>
        <v>98.994012101089524</v>
      </c>
      <c r="L31" s="7">
        <f>Processed_US_CA[[#This Row],[Value]]/B19 * 100</f>
        <v>115.71910232352359</v>
      </c>
      <c r="M31" cm="1">
        <f t="array" ref="M31">ROUND( Processed_US_CA[[#This Row],[Value]] / AVERAGE( _xlfn._xlws.FILTER(Processed_US_CA[Value], YEAR(Processed_US_CA[Date])=2020) ), 3) * 100</f>
        <v>135.9</v>
      </c>
      <c r="N31" s="16" cm="1">
        <f t="array" ref="N31" xml:space="preserve"> Processed_US_CA[[#This Row],[Value]] / _xlfn.XLOOKUP(MIN(_xlfn._xlws.FILTER(Processed_US_CA[Date], YEAR(Processed_US_CA[Date])=YEAR(Processed_US_CA[[#This Row],[Date]]))), Processed_US_CA[Date], Processed_US_CA[Value]) - 1</f>
        <v>4.0257834464787923E-2</v>
      </c>
    </row>
    <row r="32" spans="1:14">
      <c r="A32" s="6">
        <f>rawData_HousePriceIndex_US!A32</f>
        <v>44743</v>
      </c>
      <c r="B32" s="21">
        <f>rawData_HousePriceIndex_US!B32</f>
        <v>367.61099999999999</v>
      </c>
      <c r="C32" t="s">
        <v>36</v>
      </c>
      <c r="D32" t="s">
        <v>22</v>
      </c>
      <c r="E32" s="8">
        <v>44743</v>
      </c>
      <c r="F32">
        <v>30</v>
      </c>
      <c r="G32">
        <v>308</v>
      </c>
      <c r="H32">
        <v>265</v>
      </c>
      <c r="I32" s="16">
        <f t="shared" si="0"/>
        <v>-3.0694630483161643E-2</v>
      </c>
      <c r="J32" s="16">
        <f>(Processed_US_CA[[#This Row],[Value]]-B20)/B20</f>
        <v>0.10530113743990328</v>
      </c>
      <c r="K32" s="7">
        <f>Processed_US_CA[[#This Row],[Value]]/B31 * 100</f>
        <v>96.930536951683834</v>
      </c>
      <c r="L32" s="7">
        <f>Processed_US_CA[[#This Row],[Value]]/B20 * 100</f>
        <v>110.53011374399033</v>
      </c>
      <c r="M32" cm="1">
        <f t="array" ref="M32">ROUND( Processed_US_CA[[#This Row],[Value]] / AVERAGE( _xlfn._xlws.FILTER(Processed_US_CA[Value], YEAR(Processed_US_CA[Date])=2020) ), 3) * 100</f>
        <v>131.80000000000001</v>
      </c>
      <c r="N32" s="16" cm="1">
        <f t="array" ref="N32" xml:space="preserve"> Processed_US_CA[[#This Row],[Value]] / _xlfn.XLOOKUP(MIN(_xlfn._xlws.FILTER(Processed_US_CA[Date], YEAR(Processed_US_CA[Date])=YEAR(Processed_US_CA[[#This Row],[Date]]))), Processed_US_CA[Date], Processed_US_CA[Value]) - 1</f>
        <v>8.3275046286772625E-3</v>
      </c>
    </row>
    <row r="33" spans="1:14">
      <c r="A33" s="6">
        <f>rawData_HousePriceIndex_US!A33</f>
        <v>44774</v>
      </c>
      <c r="B33" s="21">
        <f>rawData_HousePriceIndex_US!B33</f>
        <v>356.23399999999998</v>
      </c>
      <c r="C33" t="s">
        <v>36</v>
      </c>
      <c r="D33" t="s">
        <v>22</v>
      </c>
      <c r="E33" s="8">
        <v>44774</v>
      </c>
      <c r="F33">
        <v>31</v>
      </c>
      <c r="G33">
        <v>307</v>
      </c>
      <c r="H33">
        <v>269</v>
      </c>
      <c r="I33" s="16">
        <f t="shared" si="0"/>
        <v>-3.0948475426469856E-2</v>
      </c>
      <c r="J33" s="16">
        <f>(Processed_US_CA[[#This Row],[Value]]-B21)/B21</f>
        <v>5.5148616027131413E-2</v>
      </c>
      <c r="K33" s="7">
        <f>Processed_US_CA[[#This Row],[Value]]/B32 * 100</f>
        <v>96.905152457353012</v>
      </c>
      <c r="L33" s="7">
        <f>Processed_US_CA[[#This Row],[Value]]/B21 * 100</f>
        <v>105.51486160271315</v>
      </c>
      <c r="M33" cm="1">
        <f t="array" ref="M33">ROUND( Processed_US_CA[[#This Row],[Value]] / AVERAGE( _xlfn._xlws.FILTER(Processed_US_CA[Value], YEAR(Processed_US_CA[Date])=2020) ), 3) * 100</f>
        <v>127.69999999999999</v>
      </c>
      <c r="N33" s="16" cm="1">
        <f t="array" ref="N33" xml:space="preserve"> Processed_US_CA[[#This Row],[Value]] / _xlfn.XLOOKUP(MIN(_xlfn._xlws.FILTER(Processed_US_CA[Date], YEAR(Processed_US_CA[Date])=YEAR(Processed_US_CA[[#This Row],[Date]]))), Processed_US_CA[Date], Processed_US_CA[Value]) - 1</f>
        <v>-2.2878694370157104E-2</v>
      </c>
    </row>
    <row r="34" spans="1:14">
      <c r="A34" s="6">
        <f>rawData_HousePriceIndex_US!A34</f>
        <v>44805</v>
      </c>
      <c r="B34" s="21">
        <f>rawData_HousePriceIndex_US!B34</f>
        <v>348.94799999999998</v>
      </c>
      <c r="C34" t="s">
        <v>36</v>
      </c>
      <c r="D34" t="s">
        <v>22</v>
      </c>
      <c r="E34" s="8">
        <v>44805</v>
      </c>
      <c r="F34">
        <v>32</v>
      </c>
      <c r="G34">
        <v>304</v>
      </c>
      <c r="H34">
        <v>271</v>
      </c>
      <c r="I34" s="16">
        <f t="shared" si="0"/>
        <v>-2.0452848408630288E-2</v>
      </c>
      <c r="J34" s="16">
        <f>(Processed_US_CA[[#This Row],[Value]]-B22)/B22</f>
        <v>2.3725213503451522E-2</v>
      </c>
      <c r="K34" s="7">
        <f>Processed_US_CA[[#This Row],[Value]]/B33 * 100</f>
        <v>97.954715159136967</v>
      </c>
      <c r="L34" s="7">
        <f>Processed_US_CA[[#This Row],[Value]]/B22 * 100</f>
        <v>102.37252135034515</v>
      </c>
      <c r="M34" cm="1">
        <f t="array" ref="M34">ROUND( Processed_US_CA[[#This Row],[Value]] / AVERAGE( _xlfn._xlws.FILTER(Processed_US_CA[Value], YEAR(Processed_US_CA[Date])=2020) ), 3) * 100</f>
        <v>125.1</v>
      </c>
      <c r="N34" s="16" cm="1">
        <f t="array" ref="N34" xml:space="preserve"> Processed_US_CA[[#This Row],[Value]] / _xlfn.XLOOKUP(MIN(_xlfn._xlws.FILTER(Processed_US_CA[Date], YEAR(Processed_US_CA[Date])=YEAR(Processed_US_CA[[#This Row],[Date]]))), Processed_US_CA[Date], Processed_US_CA[Value]) - 1</f>
        <v>-4.2863608311047185E-2</v>
      </c>
    </row>
    <row r="35" spans="1:14">
      <c r="A35" s="6">
        <f>rawData_HousePriceIndex_US!A35</f>
        <v>44835</v>
      </c>
      <c r="B35" s="21">
        <f>rawData_HousePriceIndex_US!B35</f>
        <v>346.93900000000002</v>
      </c>
      <c r="C35" t="s">
        <v>36</v>
      </c>
      <c r="D35" t="s">
        <v>22</v>
      </c>
      <c r="E35" s="8">
        <v>44835</v>
      </c>
      <c r="F35">
        <v>33</v>
      </c>
      <c r="G35">
        <v>300</v>
      </c>
      <c r="H35">
        <v>274</v>
      </c>
      <c r="I35" s="16">
        <f t="shared" si="0"/>
        <v>-5.7573048133245002E-3</v>
      </c>
      <c r="J35" s="16">
        <f>(Processed_US_CA[[#This Row],[Value]]-B23)/B23</f>
        <v>7.6765341450380749E-3</v>
      </c>
      <c r="K35" s="7">
        <f>Processed_US_CA[[#This Row],[Value]]/B34 * 100</f>
        <v>99.424269518667558</v>
      </c>
      <c r="L35" s="7">
        <f>Processed_US_CA[[#This Row],[Value]]/B23 * 100</f>
        <v>100.7676534145038</v>
      </c>
      <c r="M35" cm="1">
        <f t="array" ref="M35">ROUND( Processed_US_CA[[#This Row],[Value]] / AVERAGE( _xlfn._xlws.FILTER(Processed_US_CA[Value], YEAR(Processed_US_CA[Date])=2020) ), 3) * 100</f>
        <v>124.4</v>
      </c>
      <c r="N35" s="16" cm="1">
        <f t="array" ref="N35" xml:space="preserve"> Processed_US_CA[[#This Row],[Value]] / _xlfn.XLOOKUP(MIN(_xlfn._xlws.FILTER(Processed_US_CA[Date], YEAR(Processed_US_CA[Date])=YEAR(Processed_US_CA[[#This Row],[Date]]))), Processed_US_CA[Date], Processed_US_CA[Value]) - 1</f>
        <v>-4.8374134265925961E-2</v>
      </c>
    </row>
    <row r="36" spans="1:14">
      <c r="A36" s="6">
        <f>rawData_HousePriceIndex_US!A36</f>
        <v>44866</v>
      </c>
      <c r="B36" s="21">
        <f>rawData_HousePriceIndex_US!B36</f>
        <v>344.03199999999998</v>
      </c>
      <c r="C36" t="s">
        <v>36</v>
      </c>
      <c r="D36" t="s">
        <v>22</v>
      </c>
      <c r="E36" s="8">
        <v>44866</v>
      </c>
      <c r="F36">
        <v>34</v>
      </c>
      <c r="G36">
        <v>299</v>
      </c>
      <c r="H36">
        <v>276</v>
      </c>
      <c r="I36" s="16">
        <f t="shared" si="0"/>
        <v>-8.3789945782977385E-3</v>
      </c>
      <c r="J36" s="16">
        <f>(Processed_US_CA[[#This Row],[Value]]-B24)/B24</f>
        <v>-1.3301976080534699E-2</v>
      </c>
      <c r="K36" s="7">
        <f>Processed_US_CA[[#This Row],[Value]]/B35 * 100</f>
        <v>99.162100542170222</v>
      </c>
      <c r="L36" s="7">
        <f>Processed_US_CA[[#This Row],[Value]]/B24 * 100</f>
        <v>98.669802391946533</v>
      </c>
      <c r="M36" cm="1">
        <f t="array" ref="M36">ROUND( Processed_US_CA[[#This Row],[Value]] / AVERAGE( _xlfn._xlws.FILTER(Processed_US_CA[Value], YEAR(Processed_US_CA[Date])=2020) ), 3) * 100</f>
        <v>123.30000000000001</v>
      </c>
      <c r="N36" s="16" cm="1">
        <f t="array" ref="N36" xml:space="preserve"> Processed_US_CA[[#This Row],[Value]] / _xlfn.XLOOKUP(MIN(_xlfn._xlws.FILTER(Processed_US_CA[Date], YEAR(Processed_US_CA[Date])=YEAR(Processed_US_CA[[#This Row],[Date]]))), Processed_US_CA[Date], Processed_US_CA[Value]) - 1</f>
        <v>-5.6347802235479638E-2</v>
      </c>
    </row>
    <row r="37" spans="1:14">
      <c r="A37" s="6">
        <f>rawData_HousePriceIndex_US!A37</f>
        <v>44896</v>
      </c>
      <c r="B37" s="21">
        <f>rawData_HousePriceIndex_US!B37</f>
        <v>340.202</v>
      </c>
      <c r="C37" t="s">
        <v>36</v>
      </c>
      <c r="D37" t="s">
        <v>22</v>
      </c>
      <c r="E37" s="8">
        <v>44896</v>
      </c>
      <c r="F37">
        <v>35</v>
      </c>
      <c r="G37">
        <v>297</v>
      </c>
      <c r="H37">
        <v>279</v>
      </c>
      <c r="I37" s="16">
        <f t="shared" si="0"/>
        <v>-1.1132685331597015E-2</v>
      </c>
      <c r="J37" s="16">
        <f>(Processed_US_CA[[#This Row],[Value]]-B25)/B25</f>
        <v>-3.9682718907017425E-2</v>
      </c>
      <c r="K37" s="7">
        <f>Processed_US_CA[[#This Row],[Value]]/B36 * 100</f>
        <v>98.886731466840288</v>
      </c>
      <c r="L37" s="7">
        <f>Processed_US_CA[[#This Row],[Value]]/B25 * 100</f>
        <v>96.031728109298257</v>
      </c>
      <c r="M37" cm="1">
        <f t="array" ref="M37">ROUND( Processed_US_CA[[#This Row],[Value]] / AVERAGE( _xlfn._xlws.FILTER(Processed_US_CA[Value], YEAR(Processed_US_CA[Date])=2020) ), 3) * 100</f>
        <v>121.9</v>
      </c>
      <c r="N37" s="16" cm="1">
        <f t="array" ref="N37" xml:space="preserve"> Processed_US_CA[[#This Row],[Value]] / _xlfn.XLOOKUP(MIN(_xlfn._xlws.FILTER(Processed_US_CA[Date], YEAR(Processed_US_CA[Date])=YEAR(Processed_US_CA[[#This Row],[Date]]))), Processed_US_CA[Date], Processed_US_CA[Value]) - 1</f>
        <v>-6.6853185215662081E-2</v>
      </c>
    </row>
    <row r="38" spans="1:14">
      <c r="A38" s="6">
        <f>rawData_HousePriceIndex_US!A38</f>
        <v>44927</v>
      </c>
      <c r="B38" s="21">
        <f>rawData_HousePriceIndex_US!B38</f>
        <v>336.85899999999998</v>
      </c>
      <c r="C38" t="s">
        <v>36</v>
      </c>
      <c r="D38" t="s">
        <v>22</v>
      </c>
      <c r="E38" s="8">
        <v>44927</v>
      </c>
      <c r="F38">
        <v>36</v>
      </c>
      <c r="G38">
        <v>294</v>
      </c>
      <c r="H38">
        <v>282</v>
      </c>
      <c r="I38" s="16">
        <f t="shared" si="0"/>
        <v>-9.8265148353037842E-3</v>
      </c>
      <c r="J38" s="16">
        <f>(Processed_US_CA[[#This Row],[Value]]-B26)/B26</f>
        <v>-7.6022766234656813E-2</v>
      </c>
      <c r="K38" s="7">
        <f>Processed_US_CA[[#This Row],[Value]]/B37 * 100</f>
        <v>99.01734851646961</v>
      </c>
      <c r="L38" s="7">
        <f>Processed_US_CA[[#This Row],[Value]]/B26 * 100</f>
        <v>92.397723376534316</v>
      </c>
      <c r="M38" cm="1">
        <f t="array" ref="M38">ROUND( Processed_US_CA[[#This Row],[Value]] / AVERAGE( _xlfn._xlws.FILTER(Processed_US_CA[Value], YEAR(Processed_US_CA[Date])=2020) ), 3) * 100</f>
        <v>120.7</v>
      </c>
      <c r="N38" s="16" cm="1">
        <f t="array" ref="N38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39" spans="1:14">
      <c r="A39" s="6">
        <f>rawData_HousePriceIndex_US!A39</f>
        <v>44958</v>
      </c>
      <c r="B39" s="21">
        <f>rawData_HousePriceIndex_US!B39</f>
        <v>335.339</v>
      </c>
      <c r="C39" t="s">
        <v>36</v>
      </c>
      <c r="D39" t="s">
        <v>22</v>
      </c>
      <c r="E39" s="8">
        <v>44958</v>
      </c>
      <c r="F39">
        <v>37</v>
      </c>
      <c r="G39">
        <v>293</v>
      </c>
      <c r="H39">
        <v>287</v>
      </c>
      <c r="I39" s="16">
        <f t="shared" si="0"/>
        <v>-4.5122736812731202E-3</v>
      </c>
      <c r="J39" s="16">
        <f>(Processed_US_CA[[#This Row],[Value]]-B27)/B27</f>
        <v>-0.10096300784454607</v>
      </c>
      <c r="K39" s="7">
        <f>Processed_US_CA[[#This Row],[Value]]/B38 * 100</f>
        <v>99.54877263187268</v>
      </c>
      <c r="L39" s="7">
        <f>Processed_US_CA[[#This Row],[Value]]/B27 * 100</f>
        <v>89.903699215545402</v>
      </c>
      <c r="M39" cm="1">
        <f t="array" ref="M39">ROUND( Processed_US_CA[[#This Row],[Value]] / AVERAGE( _xlfn._xlws.FILTER(Processed_US_CA[Value], YEAR(Processed_US_CA[Date])=2020) ), 3) * 100</f>
        <v>120.19999999999999</v>
      </c>
      <c r="N39" s="16" cm="1">
        <f t="array" ref="N39" xml:space="preserve"> Processed_US_CA[[#This Row],[Value]] / _xlfn.XLOOKUP(MIN(_xlfn._xlws.FILTER(Processed_US_CA[Date], YEAR(Processed_US_CA[Date])=YEAR(Processed_US_CA[[#This Row],[Date]]))), Processed_US_CA[Date], Processed_US_CA[Value]) - 1</f>
        <v>-4.5122736812731601E-3</v>
      </c>
    </row>
    <row r="40" spans="1:14">
      <c r="A40" s="6">
        <f>rawData_HousePriceIndex_US!A40</f>
        <v>44986</v>
      </c>
      <c r="B40" s="21">
        <f>rawData_HousePriceIndex_US!B40</f>
        <v>336.20499999999998</v>
      </c>
      <c r="C40" t="s">
        <v>36</v>
      </c>
      <c r="D40" t="s">
        <v>22</v>
      </c>
      <c r="E40" s="8">
        <v>44986</v>
      </c>
      <c r="F40">
        <v>38</v>
      </c>
      <c r="G40">
        <v>294</v>
      </c>
      <c r="H40">
        <v>295</v>
      </c>
      <c r="I40" s="16">
        <f t="shared" si="0"/>
        <v>2.5824613301762855E-3</v>
      </c>
      <c r="J40" s="16">
        <f>(Processed_US_CA[[#This Row],[Value]]-B28)/B28</f>
        <v>-0.1139021986073555</v>
      </c>
      <c r="K40" s="7">
        <f>Processed_US_CA[[#This Row],[Value]]/B39 * 100</f>
        <v>100.25824613301764</v>
      </c>
      <c r="L40" s="7">
        <f>Processed_US_CA[[#This Row],[Value]]/B28 * 100</f>
        <v>88.609780139264444</v>
      </c>
      <c r="M40" cm="1">
        <f t="array" ref="M40">ROUND( Processed_US_CA[[#This Row],[Value]] / AVERAGE( _xlfn._xlws.FILTER(Processed_US_CA[Value], YEAR(Processed_US_CA[Date])=2020) ), 3) * 100</f>
        <v>120.5</v>
      </c>
      <c r="N40" s="16" cm="1">
        <f t="array" ref="N40" xml:space="preserve"> Processed_US_CA[[#This Row],[Value]] / _xlfn.XLOOKUP(MIN(_xlfn._xlws.FILTER(Processed_US_CA[Date], YEAR(Processed_US_CA[Date])=YEAR(Processed_US_CA[[#This Row],[Date]]))), Processed_US_CA[Date], Processed_US_CA[Value]) - 1</f>
        <v>-1.941465123389885E-3</v>
      </c>
    </row>
    <row r="41" spans="1:14">
      <c r="A41" s="6">
        <f>rawData_HousePriceIndex_US!A41</f>
        <v>45017</v>
      </c>
      <c r="B41" s="21">
        <f>rawData_HousePriceIndex_US!B41</f>
        <v>338.32100000000003</v>
      </c>
      <c r="C41" t="s">
        <v>36</v>
      </c>
      <c r="D41" t="s">
        <v>22</v>
      </c>
      <c r="E41" s="8">
        <v>45017</v>
      </c>
      <c r="F41">
        <v>39</v>
      </c>
      <c r="G41">
        <v>297</v>
      </c>
      <c r="H41">
        <v>302</v>
      </c>
      <c r="I41" s="16">
        <f t="shared" si="0"/>
        <v>6.2937790931129594E-3</v>
      </c>
      <c r="J41" s="16">
        <f>(Processed_US_CA[[#This Row],[Value]]-B29)/B29</f>
        <v>-0.11340992353209395</v>
      </c>
      <c r="K41" s="7">
        <f>Processed_US_CA[[#This Row],[Value]]/B40 * 100</f>
        <v>100.6293779093113</v>
      </c>
      <c r="L41" s="7">
        <f>Processed_US_CA[[#This Row],[Value]]/B29 * 100</f>
        <v>88.659007646790613</v>
      </c>
      <c r="M41" cm="1">
        <f t="array" ref="M41">ROUND( Processed_US_CA[[#This Row],[Value]] / AVERAGE( _xlfn._xlws.FILTER(Processed_US_CA[Value], YEAR(Processed_US_CA[Date])=2020) ), 3) * 100</f>
        <v>121.30000000000001</v>
      </c>
      <c r="N41" s="16" cm="1">
        <f t="array" ref="N41" xml:space="preserve"> Processed_US_CA[[#This Row],[Value]] / _xlfn.XLOOKUP(MIN(_xlfn._xlws.FILTER(Processed_US_CA[Date], YEAR(Processed_US_CA[Date])=YEAR(Processed_US_CA[[#This Row],[Date]]))), Processed_US_CA[Date], Processed_US_CA[Value]) - 1</f>
        <v>4.3400948171194997E-3</v>
      </c>
    </row>
    <row r="42" spans="1:14">
      <c r="A42" s="6">
        <f>rawData_HousePriceIndex_US!A42</f>
        <v>45047</v>
      </c>
      <c r="B42" s="21">
        <f>rawData_HousePriceIndex_US!B42</f>
        <v>339.85899999999998</v>
      </c>
      <c r="C42" t="s">
        <v>36</v>
      </c>
      <c r="D42" t="s">
        <v>22</v>
      </c>
      <c r="E42" s="8">
        <v>45047</v>
      </c>
      <c r="F42">
        <v>40</v>
      </c>
      <c r="G42">
        <v>302</v>
      </c>
      <c r="H42">
        <v>306</v>
      </c>
      <c r="I42" s="16">
        <f t="shared" si="0"/>
        <v>4.5459785233549028E-3</v>
      </c>
      <c r="J42" s="16">
        <f>(Processed_US_CA[[#This Row],[Value]]-B30)/B30</f>
        <v>-0.11288520670519391</v>
      </c>
      <c r="K42" s="7">
        <f>Processed_US_CA[[#This Row],[Value]]/B41 * 100</f>
        <v>100.45459785233548</v>
      </c>
      <c r="L42" s="7">
        <f>Processed_US_CA[[#This Row],[Value]]/B30 * 100</f>
        <v>88.711479329480611</v>
      </c>
      <c r="M42" cm="1">
        <f t="array" ref="M42">ROUND( Processed_US_CA[[#This Row],[Value]] / AVERAGE( _xlfn._xlws.FILTER(Processed_US_CA[Value], YEAR(Processed_US_CA[Date])=2020) ), 3) * 100</f>
        <v>121.8</v>
      </c>
      <c r="N42" s="16" cm="1">
        <f t="array" ref="N42" xml:space="preserve"> Processed_US_CA[[#This Row],[Value]] / _xlfn.XLOOKUP(MIN(_xlfn._xlws.FILTER(Processed_US_CA[Date], YEAR(Processed_US_CA[Date])=YEAR(Processed_US_CA[[#This Row],[Date]]))), Processed_US_CA[Date], Processed_US_CA[Value]) - 1</f>
        <v>8.9058033183022633E-3</v>
      </c>
    </row>
    <row r="43" spans="1:14">
      <c r="A43" s="6">
        <f>rawData_HousePriceIndex_US!A43</f>
        <v>45078</v>
      </c>
      <c r="B43" s="21">
        <f>rawData_HousePriceIndex_US!B43</f>
        <v>341.59699999999998</v>
      </c>
      <c r="C43" t="s">
        <v>36</v>
      </c>
      <c r="D43" t="s">
        <v>22</v>
      </c>
      <c r="E43" s="8">
        <v>45078</v>
      </c>
      <c r="F43">
        <v>41</v>
      </c>
      <c r="G43">
        <v>305</v>
      </c>
      <c r="H43">
        <v>308</v>
      </c>
      <c r="I43" s="16">
        <f t="shared" si="0"/>
        <v>5.1138854642660625E-3</v>
      </c>
      <c r="J43" s="16">
        <f>(Processed_US_CA[[#This Row],[Value]]-B31)/B31</f>
        <v>-9.9287544956915261E-2</v>
      </c>
      <c r="K43" s="7">
        <f>Processed_US_CA[[#This Row],[Value]]/B42 * 100</f>
        <v>100.5113885464266</v>
      </c>
      <c r="L43" s="7">
        <f>Processed_US_CA[[#This Row],[Value]]/B31 * 100</f>
        <v>90.071245504308479</v>
      </c>
      <c r="M43" cm="1">
        <f t="array" ref="M43">ROUND( Processed_US_CA[[#This Row],[Value]] / AVERAGE( _xlfn._xlws.FILTER(Processed_US_CA[Value], YEAR(Processed_US_CA[Date])=2020) ), 3) * 100</f>
        <v>122.39999999999999</v>
      </c>
      <c r="N43" s="16" cm="1">
        <f t="array" ref="N43" xml:space="preserve"> Processed_US_CA[[#This Row],[Value]] / _xlfn.XLOOKUP(MIN(_xlfn._xlws.FILTER(Processed_US_CA[Date], YEAR(Processed_US_CA[Date])=YEAR(Processed_US_CA[[#This Row],[Date]]))), Processed_US_CA[Date], Processed_US_CA[Value]) - 1</f>
        <v>1.4065232040705533E-2</v>
      </c>
    </row>
    <row r="44" spans="1:14">
      <c r="A44" s="6">
        <f>rawData_HousePriceIndex_US!A44</f>
        <v>45108</v>
      </c>
      <c r="B44" s="21">
        <f>rawData_HousePriceIndex_US!B44</f>
        <v>344.20100000000002</v>
      </c>
      <c r="C44" t="s">
        <v>36</v>
      </c>
      <c r="D44" t="s">
        <v>22</v>
      </c>
      <c r="E44" s="8">
        <v>45108</v>
      </c>
      <c r="F44">
        <v>42</v>
      </c>
      <c r="G44">
        <v>308</v>
      </c>
      <c r="H44">
        <v>307</v>
      </c>
      <c r="I44" s="16">
        <f t="shared" si="0"/>
        <v>7.6230177665495948E-3</v>
      </c>
      <c r="J44" s="16">
        <f>(Processed_US_CA[[#This Row],[Value]]-B32)/B32</f>
        <v>-6.3681445876211454E-2</v>
      </c>
      <c r="K44" s="7">
        <f>Processed_US_CA[[#This Row],[Value]]/B43 * 100</f>
        <v>100.76230177665495</v>
      </c>
      <c r="L44" s="7">
        <f>Processed_US_CA[[#This Row],[Value]]/B32 * 100</f>
        <v>93.631855412378854</v>
      </c>
      <c r="M44" cm="1">
        <f t="array" ref="M44">ROUND( Processed_US_CA[[#This Row],[Value]] / AVERAGE( _xlfn._xlws.FILTER(Processed_US_CA[Value], YEAR(Processed_US_CA[Date])=2020) ), 3) * 100</f>
        <v>123.4</v>
      </c>
      <c r="N44" s="16" cm="1">
        <f t="array" ref="N44" xml:space="preserve"> Processed_US_CA[[#This Row],[Value]] / _xlfn.XLOOKUP(MIN(_xlfn._xlws.FILTER(Processed_US_CA[Date], YEAR(Processed_US_CA[Date])=YEAR(Processed_US_CA[[#This Row],[Date]]))), Processed_US_CA[Date], Processed_US_CA[Value]) - 1</f>
        <v>2.1795469320992078E-2</v>
      </c>
    </row>
    <row r="45" spans="1:14">
      <c r="A45" s="6">
        <f>rawData_HousePriceIndex_US!A45</f>
        <v>45139</v>
      </c>
      <c r="B45" s="21">
        <f>rawData_HousePriceIndex_US!B45</f>
        <v>347.35700000000003</v>
      </c>
      <c r="C45" t="s">
        <v>36</v>
      </c>
      <c r="D45" t="s">
        <v>22</v>
      </c>
      <c r="E45" s="8">
        <v>45139</v>
      </c>
      <c r="F45">
        <v>43</v>
      </c>
      <c r="G45">
        <v>310</v>
      </c>
      <c r="H45">
        <v>304</v>
      </c>
      <c r="I45" s="16">
        <f t="shared" si="0"/>
        <v>9.1690611009265094E-3</v>
      </c>
      <c r="J45" s="16">
        <f>(Processed_US_CA[[#This Row],[Value]]-B33)/B33</f>
        <v>-2.4919013906589356E-2</v>
      </c>
      <c r="K45" s="7">
        <f>Processed_US_CA[[#This Row],[Value]]/B44 * 100</f>
        <v>100.91690611009265</v>
      </c>
      <c r="L45" s="7">
        <f>Processed_US_CA[[#This Row],[Value]]/B33 * 100</f>
        <v>97.508098609341062</v>
      </c>
      <c r="M45" cm="1">
        <f t="array" ref="M45">ROUND( Processed_US_CA[[#This Row],[Value]] / AVERAGE( _xlfn._xlws.FILTER(Processed_US_CA[Value], YEAR(Processed_US_CA[Date])=2020) ), 3) * 100</f>
        <v>124.50000000000001</v>
      </c>
      <c r="N45" s="16" cm="1">
        <f t="array" ref="N45" xml:space="preserve"> Processed_US_CA[[#This Row],[Value]] / _xlfn.XLOOKUP(MIN(_xlfn._xlws.FILTER(Processed_US_CA[Date], YEAR(Processed_US_CA[Date])=YEAR(Processed_US_CA[[#This Row],[Date]]))), Processed_US_CA[Date], Processed_US_CA[Value]) - 1</f>
        <v>3.1164374411845941E-2</v>
      </c>
    </row>
    <row r="46" spans="1:14">
      <c r="A46" s="6">
        <f>rawData_HousePriceIndex_US!A46</f>
        <v>45170</v>
      </c>
      <c r="B46" s="21">
        <f>rawData_HousePriceIndex_US!B46</f>
        <v>351.11</v>
      </c>
      <c r="C46" t="s">
        <v>36</v>
      </c>
      <c r="D46" t="s">
        <v>22</v>
      </c>
      <c r="E46" s="8">
        <v>45170</v>
      </c>
      <c r="F46">
        <v>44</v>
      </c>
      <c r="G46">
        <v>312</v>
      </c>
      <c r="H46">
        <v>300</v>
      </c>
      <c r="I46" s="16">
        <f t="shared" si="0"/>
        <v>1.0804446146183855E-2</v>
      </c>
      <c r="J46" s="16">
        <f>(Processed_US_CA[[#This Row],[Value]]-B34)/B34</f>
        <v>6.1957655581921511E-3</v>
      </c>
      <c r="K46" s="7">
        <f>Processed_US_CA[[#This Row],[Value]]/B45 * 100</f>
        <v>101.08044461461839</v>
      </c>
      <c r="L46" s="7">
        <f>Processed_US_CA[[#This Row],[Value]]/B34 * 100</f>
        <v>100.61957655581921</v>
      </c>
      <c r="M46" cm="1">
        <f t="array" ref="M46">ROUND( Processed_US_CA[[#This Row],[Value]] / AVERAGE( _xlfn._xlws.FILTER(Processed_US_CA[Value], YEAR(Processed_US_CA[Date])=2020) ), 3) * 100</f>
        <v>125.89999999999999</v>
      </c>
      <c r="N46" s="16" cm="1">
        <f t="array" ref="N46" xml:space="preserve"> Processed_US_CA[[#This Row],[Value]] / _xlfn.XLOOKUP(MIN(_xlfn._xlws.FILTER(Processed_US_CA[Date], YEAR(Processed_US_CA[Date])=YEAR(Processed_US_CA[[#This Row],[Date]]))), Processed_US_CA[Date], Processed_US_CA[Value]) - 1</f>
        <v>4.2305534363042296E-2</v>
      </c>
    </row>
    <row r="47" spans="1:14">
      <c r="A47" s="6">
        <f>rawData_HousePriceIndex_US!A47</f>
        <v>45200</v>
      </c>
      <c r="B47" s="21">
        <f>rawData_HousePriceIndex_US!B47</f>
        <v>353.38499999999999</v>
      </c>
      <c r="C47" t="s">
        <v>36</v>
      </c>
      <c r="D47" t="s">
        <v>22</v>
      </c>
      <c r="E47" s="8">
        <v>45200</v>
      </c>
      <c r="F47">
        <v>45</v>
      </c>
      <c r="G47">
        <v>313</v>
      </c>
      <c r="H47">
        <v>299</v>
      </c>
      <c r="I47" s="16">
        <f t="shared" si="0"/>
        <v>6.4794508843381768E-3</v>
      </c>
      <c r="J47" s="16">
        <f>(Processed_US_CA[[#This Row],[Value]]-B35)/B35</f>
        <v>1.8579635036706652E-2</v>
      </c>
      <c r="K47" s="7">
        <f>Processed_US_CA[[#This Row],[Value]]/B46 * 100</f>
        <v>100.64794508843381</v>
      </c>
      <c r="L47" s="7">
        <f>Processed_US_CA[[#This Row],[Value]]/B35 * 100</f>
        <v>101.85796350367067</v>
      </c>
      <c r="M47" cm="1">
        <f t="array" ref="M47">ROUND( Processed_US_CA[[#This Row],[Value]] / AVERAGE( _xlfn._xlws.FILTER(Processed_US_CA[Value], YEAR(Processed_US_CA[Date])=2020) ), 3) * 100</f>
        <v>126.69999999999999</v>
      </c>
      <c r="N47" s="16" cm="1">
        <f t="array" ref="N47" xml:space="preserve"> Processed_US_CA[[#This Row],[Value]] / _xlfn.XLOOKUP(MIN(_xlfn._xlws.FILTER(Processed_US_CA[Date], YEAR(Processed_US_CA[Date])=YEAR(Processed_US_CA[[#This Row],[Date]]))), Processed_US_CA[Date], Processed_US_CA[Value]) - 1</f>
        <v>4.9059101879421307E-2</v>
      </c>
    </row>
    <row r="48" spans="1:14">
      <c r="A48" s="6">
        <f>rawData_HousePriceIndex_US!A48</f>
        <v>45231</v>
      </c>
      <c r="B48" s="21">
        <f>rawData_HousePriceIndex_US!B48</f>
        <v>352.33</v>
      </c>
      <c r="C48" t="s">
        <v>36</v>
      </c>
      <c r="D48" t="s">
        <v>22</v>
      </c>
      <c r="E48" s="8">
        <v>45231</v>
      </c>
      <c r="F48">
        <v>46</v>
      </c>
      <c r="G48">
        <v>313</v>
      </c>
      <c r="H48">
        <v>297</v>
      </c>
      <c r="I48" s="16">
        <f t="shared" si="0"/>
        <v>-2.9854125104348144E-3</v>
      </c>
      <c r="J48" s="16">
        <f>(Processed_US_CA[[#This Row],[Value]]-B36)/B36</f>
        <v>2.4119849316342673E-2</v>
      </c>
      <c r="K48" s="7">
        <f>Processed_US_CA[[#This Row],[Value]]/B47 * 100</f>
        <v>99.701458748956512</v>
      </c>
      <c r="L48" s="7">
        <f>Processed_US_CA[[#This Row],[Value]]/B36 * 100</f>
        <v>102.41198493163427</v>
      </c>
      <c r="M48" cm="1">
        <f t="array" ref="M48">ROUND( Processed_US_CA[[#This Row],[Value]] / AVERAGE( _xlfn._xlws.FILTER(Processed_US_CA[Value], YEAR(Processed_US_CA[Date])=2020) ), 3) * 100</f>
        <v>126.29999999999998</v>
      </c>
      <c r="N48" s="16" cm="1">
        <f t="array" ref="N48" xml:space="preserve"> Processed_US_CA[[#This Row],[Value]] / _xlfn.XLOOKUP(MIN(_xlfn._xlws.FILTER(Processed_US_CA[Date], YEAR(Processed_US_CA[Date])=YEAR(Processed_US_CA[[#This Row],[Date]]))), Processed_US_CA[Date], Processed_US_CA[Value]) - 1</f>
        <v>4.5927227712485141E-2</v>
      </c>
    </row>
    <row r="49" spans="1:14">
      <c r="A49" s="6">
        <f>rawData_HousePriceIndex_US!A49</f>
        <v>45261</v>
      </c>
      <c r="B49" s="21">
        <f>rawData_HousePriceIndex_US!B49</f>
        <v>351.98099999999999</v>
      </c>
      <c r="C49" t="s">
        <v>36</v>
      </c>
      <c r="D49" t="s">
        <v>22</v>
      </c>
      <c r="E49" s="8">
        <v>45261</v>
      </c>
      <c r="F49">
        <v>47</v>
      </c>
      <c r="G49">
        <v>312</v>
      </c>
      <c r="H49">
        <v>294</v>
      </c>
      <c r="I49" s="16">
        <f t="shared" si="0"/>
        <v>-9.9054863338344612E-4</v>
      </c>
      <c r="J49" s="16">
        <f>(Processed_US_CA[[#This Row],[Value]]-B37)/B37</f>
        <v>3.462354718667144E-2</v>
      </c>
      <c r="K49" s="7">
        <f>Processed_US_CA[[#This Row],[Value]]/B48 * 100</f>
        <v>99.900945136661662</v>
      </c>
      <c r="L49" s="7">
        <f>Processed_US_CA[[#This Row],[Value]]/B37 * 100</f>
        <v>103.46235471866714</v>
      </c>
      <c r="M49" cm="1">
        <f t="array" ref="M49">ROUND( Processed_US_CA[[#This Row],[Value]] / AVERAGE( _xlfn._xlws.FILTER(Processed_US_CA[Value], YEAR(Processed_US_CA[Date])=2020) ), 3) * 100</f>
        <v>126.2</v>
      </c>
      <c r="N49" s="16" cm="1">
        <f t="array" ref="N49" xml:space="preserve"> Processed_US_CA[[#This Row],[Value]] / _xlfn.XLOOKUP(MIN(_xlfn._xlws.FILTER(Processed_US_CA[Date], YEAR(Processed_US_CA[Date])=YEAR(Processed_US_CA[[#This Row],[Date]]))), Processed_US_CA[Date], Processed_US_CA[Value]) - 1</f>
        <v>4.4891185926456023E-2</v>
      </c>
    </row>
    <row r="50" spans="1:14">
      <c r="A50" s="6">
        <f>rawData_HousePriceIndex_US!A50</f>
        <v>45292</v>
      </c>
      <c r="B50" s="21">
        <f>rawData_HousePriceIndex_US!B50</f>
        <v>352.411</v>
      </c>
      <c r="C50" t="s">
        <v>36</v>
      </c>
      <c r="D50" t="s">
        <v>22</v>
      </c>
      <c r="E50" s="8">
        <v>45292</v>
      </c>
      <c r="F50">
        <v>48</v>
      </c>
      <c r="G50">
        <v>311</v>
      </c>
      <c r="H50">
        <v>293</v>
      </c>
      <c r="I50" s="16">
        <f t="shared" si="0"/>
        <v>1.221656850795943E-3</v>
      </c>
      <c r="J50" s="16">
        <f>(Processed_US_CA[[#This Row],[Value]]-B38)/B38</f>
        <v>4.6167684402079273E-2</v>
      </c>
      <c r="K50" s="7">
        <f>Processed_US_CA[[#This Row],[Value]]/B49 * 100</f>
        <v>100.12216568507959</v>
      </c>
      <c r="L50" s="7">
        <f>Processed_US_CA[[#This Row],[Value]]/B38 * 100</f>
        <v>104.61676844020793</v>
      </c>
      <c r="M50" cm="1">
        <f t="array" ref="M50">ROUND( Processed_US_CA[[#This Row],[Value]] / AVERAGE( _xlfn._xlws.FILTER(Processed_US_CA[Value], YEAR(Processed_US_CA[Date])=2020) ), 3) * 100</f>
        <v>126.29999999999998</v>
      </c>
      <c r="N50" s="16" cm="1">
        <f t="array" ref="N50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51" spans="1:14">
      <c r="A51" s="6">
        <f>rawData_HousePriceIndex_US!A51</f>
        <v>45323</v>
      </c>
      <c r="B51" s="21">
        <f>rawData_HousePriceIndex_US!B51</f>
        <v>353.10599999999999</v>
      </c>
      <c r="C51" t="s">
        <v>36</v>
      </c>
      <c r="D51" t="s">
        <v>22</v>
      </c>
      <c r="E51" s="8">
        <v>45323</v>
      </c>
      <c r="F51">
        <v>49</v>
      </c>
      <c r="G51">
        <v>311</v>
      </c>
      <c r="H51">
        <v>294</v>
      </c>
      <c r="I51" s="16">
        <f t="shared" si="0"/>
        <v>1.9721291333130724E-3</v>
      </c>
      <c r="J51" s="16">
        <f>(Processed_US_CA[[#This Row],[Value]]-B39)/B39</f>
        <v>5.2982206066100261E-2</v>
      </c>
      <c r="K51" s="7">
        <f>Processed_US_CA[[#This Row],[Value]]/B50 * 100</f>
        <v>100.1972129133313</v>
      </c>
      <c r="L51" s="7">
        <f>Processed_US_CA[[#This Row],[Value]]/B39 * 100</f>
        <v>105.29822060661003</v>
      </c>
      <c r="M51" cm="1">
        <f t="array" ref="M51">ROUND( Processed_US_CA[[#This Row],[Value]] / AVERAGE( _xlfn._xlws.FILTER(Processed_US_CA[Value], YEAR(Processed_US_CA[Date])=2020) ), 3) * 100</f>
        <v>126.6</v>
      </c>
      <c r="N51" s="16" cm="1">
        <f t="array" ref="N51" xml:space="preserve"> Processed_US_CA[[#This Row],[Value]] / _xlfn.XLOOKUP(MIN(_xlfn._xlws.FILTER(Processed_US_CA[Date], YEAR(Processed_US_CA[Date])=YEAR(Processed_US_CA[[#This Row],[Date]]))), Processed_US_CA[Date], Processed_US_CA[Value]) - 1</f>
        <v>1.9721291333130164E-3</v>
      </c>
    </row>
    <row r="52" spans="1:14">
      <c r="A52" s="6">
        <f>rawData_HousePriceIndex_US!A52</f>
        <v>45352</v>
      </c>
      <c r="B52" s="21">
        <f>rawData_HousePriceIndex_US!B52</f>
        <v>352.89600000000002</v>
      </c>
      <c r="C52" t="s">
        <v>36</v>
      </c>
      <c r="D52" t="s">
        <v>22</v>
      </c>
      <c r="E52" s="8">
        <v>45352</v>
      </c>
      <c r="F52">
        <v>50</v>
      </c>
      <c r="G52">
        <v>313</v>
      </c>
      <c r="H52">
        <v>297</v>
      </c>
      <c r="I52" s="16">
        <f t="shared" si="0"/>
        <v>-5.9472226470232603E-4</v>
      </c>
      <c r="J52" s="16">
        <f>(Processed_US_CA[[#This Row],[Value]]-B40)/B40</f>
        <v>4.9645305691468099E-2</v>
      </c>
      <c r="K52" s="7">
        <f>Processed_US_CA[[#This Row],[Value]]/B51 * 100</f>
        <v>99.940527773529766</v>
      </c>
      <c r="L52" s="7">
        <f>Processed_US_CA[[#This Row],[Value]]/B40 * 100</f>
        <v>104.9645305691468</v>
      </c>
      <c r="M52" cm="1">
        <f t="array" ref="M52">ROUND( Processed_US_CA[[#This Row],[Value]] / AVERAGE( _xlfn._xlws.FILTER(Processed_US_CA[Value], YEAR(Processed_US_CA[Date])=2020) ), 3) * 100</f>
        <v>126.49999999999999</v>
      </c>
      <c r="N52" s="16" cm="1">
        <f t="array" ref="N52" xml:space="preserve"> Processed_US_CA[[#This Row],[Value]] / _xlfn.XLOOKUP(MIN(_xlfn._xlws.FILTER(Processed_US_CA[Date], YEAR(Processed_US_CA[Date])=YEAR(Processed_US_CA[[#This Row],[Date]]))), Processed_US_CA[Date], Processed_US_CA[Value]) - 1</f>
        <v>1.37623399950626E-3</v>
      </c>
    </row>
    <row r="53" spans="1:14">
      <c r="A53" s="6">
        <f>rawData_HousePriceIndex_US!A53</f>
        <v>45383</v>
      </c>
      <c r="B53" s="21">
        <f>rawData_HousePriceIndex_US!B53</f>
        <v>353.67</v>
      </c>
      <c r="C53" t="s">
        <v>36</v>
      </c>
      <c r="D53" t="s">
        <v>22</v>
      </c>
      <c r="E53" s="8">
        <v>45383</v>
      </c>
      <c r="F53">
        <v>51</v>
      </c>
      <c r="G53">
        <v>317</v>
      </c>
      <c r="H53">
        <v>302</v>
      </c>
      <c r="I53" s="16">
        <f t="shared" si="0"/>
        <v>2.1932807399347143E-3</v>
      </c>
      <c r="J53" s="16">
        <f>(Processed_US_CA[[#This Row],[Value]]-B41)/B41</f>
        <v>4.536815627761797E-2</v>
      </c>
      <c r="K53" s="7">
        <f>Processed_US_CA[[#This Row],[Value]]/B52 * 100</f>
        <v>100.21932807399348</v>
      </c>
      <c r="L53" s="7">
        <f>Processed_US_CA[[#This Row],[Value]]/B41 * 100</f>
        <v>104.5368156277618</v>
      </c>
      <c r="M53" cm="1">
        <f t="array" ref="M53">ROUND( Processed_US_CA[[#This Row],[Value]] / AVERAGE( _xlfn._xlws.FILTER(Processed_US_CA[Value], YEAR(Processed_US_CA[Date])=2020) ), 3) * 100</f>
        <v>126.8</v>
      </c>
      <c r="N53" s="16" cm="1">
        <f t="array" ref="N53" xml:space="preserve"> Processed_US_CA[[#This Row],[Value]] / _xlfn.XLOOKUP(MIN(_xlfn._xlws.FILTER(Processed_US_CA[Date], YEAR(Processed_US_CA[Date])=YEAR(Processed_US_CA[[#This Row],[Date]]))), Processed_US_CA[Date], Processed_US_CA[Value]) - 1</f>
        <v>3.5725332069658222E-3</v>
      </c>
    </row>
    <row r="54" spans="1:14">
      <c r="A54" s="6">
        <f>rawData_HousePriceIndex_US!A54</f>
        <v>45413</v>
      </c>
      <c r="B54" s="21">
        <f>rawData_HousePriceIndex_US!B54</f>
        <v>354.34699999999998</v>
      </c>
      <c r="C54" t="s">
        <v>36</v>
      </c>
      <c r="D54" t="s">
        <v>22</v>
      </c>
      <c r="E54" s="8">
        <v>45413</v>
      </c>
      <c r="F54">
        <v>52</v>
      </c>
      <c r="G54">
        <v>321</v>
      </c>
      <c r="H54">
        <v>305</v>
      </c>
      <c r="I54" s="16">
        <f t="shared" si="0"/>
        <v>1.9142138151383042E-3</v>
      </c>
      <c r="J54" s="16">
        <f>(Processed_US_CA[[#This Row],[Value]]-B42)/B42</f>
        <v>4.2629443386816297E-2</v>
      </c>
      <c r="K54" s="7">
        <f>Processed_US_CA[[#This Row],[Value]]/B53 * 100</f>
        <v>100.19142138151382</v>
      </c>
      <c r="L54" s="7">
        <f>Processed_US_CA[[#This Row],[Value]]/B42 * 100</f>
        <v>104.26294433868163</v>
      </c>
      <c r="M54" cm="1">
        <f t="array" ref="M54">ROUND( Processed_US_CA[[#This Row],[Value]] / AVERAGE( _xlfn._xlws.FILTER(Processed_US_CA[Value], YEAR(Processed_US_CA[Date])=2020) ), 3) * 100</f>
        <v>127</v>
      </c>
      <c r="N54" s="16" cm="1">
        <f t="array" ref="N54" xml:space="preserve"> Processed_US_CA[[#This Row],[Value]] / _xlfn.XLOOKUP(MIN(_xlfn._xlws.FILTER(Processed_US_CA[Date], YEAR(Processed_US_CA[Date])=YEAR(Processed_US_CA[[#This Row],[Date]]))), Processed_US_CA[Date], Processed_US_CA[Value]) - 1</f>
        <v>5.4935856145239548E-3</v>
      </c>
    </row>
    <row r="55" spans="1:14">
      <c r="A55" s="6">
        <f>rawData_HousePriceIndex_US!A55</f>
        <v>45444</v>
      </c>
      <c r="B55" s="21">
        <f>rawData_HousePriceIndex_US!B55</f>
        <v>356.863</v>
      </c>
      <c r="C55" t="s">
        <v>36</v>
      </c>
      <c r="D55" t="s">
        <v>22</v>
      </c>
      <c r="E55" s="8">
        <v>45444</v>
      </c>
      <c r="F55">
        <v>53</v>
      </c>
      <c r="G55">
        <v>324</v>
      </c>
      <c r="H55">
        <v>308</v>
      </c>
      <c r="I55" s="16">
        <f t="shared" si="0"/>
        <v>7.1003846512035368E-3</v>
      </c>
      <c r="J55" s="16">
        <f>(Processed_US_CA[[#This Row],[Value]]-B43)/B43</f>
        <v>4.4690088027705223E-2</v>
      </c>
      <c r="K55" s="7">
        <f>Processed_US_CA[[#This Row],[Value]]/B54 * 100</f>
        <v>100.71003846512035</v>
      </c>
      <c r="L55" s="7">
        <f>Processed_US_CA[[#This Row],[Value]]/B43 * 100</f>
        <v>104.46900880277053</v>
      </c>
      <c r="M55" cm="1">
        <f t="array" ref="M55">ROUND( Processed_US_CA[[#This Row],[Value]] / AVERAGE( _xlfn._xlws.FILTER(Processed_US_CA[Value], YEAR(Processed_US_CA[Date])=2020) ), 3) * 100</f>
        <v>127.89999999999999</v>
      </c>
      <c r="N55" s="16" cm="1">
        <f t="array" ref="N55" xml:space="preserve"> Processed_US_CA[[#This Row],[Value]] / _xlfn.XLOOKUP(MIN(_xlfn._xlws.FILTER(Processed_US_CA[Date], YEAR(Processed_US_CA[Date])=YEAR(Processed_US_CA[[#This Row],[Date]]))), Processed_US_CA[Date], Processed_US_CA[Value]) - 1</f>
        <v>1.2632976836704835E-2</v>
      </c>
    </row>
    <row r="56" spans="1:14">
      <c r="A56" s="6">
        <f>rawData_HousePriceIndex_US!A56</f>
        <v>45474</v>
      </c>
      <c r="B56" s="21">
        <f>rawData_HousePriceIndex_US!B56</f>
        <v>355.91399999999999</v>
      </c>
      <c r="C56" t="s">
        <v>36</v>
      </c>
      <c r="D56" t="s">
        <v>22</v>
      </c>
      <c r="E56" s="8">
        <v>45474</v>
      </c>
      <c r="F56">
        <v>54</v>
      </c>
      <c r="G56">
        <v>325</v>
      </c>
      <c r="H56">
        <v>310</v>
      </c>
      <c r="I56" s="16">
        <f t="shared" si="0"/>
        <v>-2.6592838147973096E-3</v>
      </c>
      <c r="J56" s="16">
        <f>(Processed_US_CA[[#This Row],[Value]]-B44)/B44</f>
        <v>3.4029535068172273E-2</v>
      </c>
      <c r="K56" s="7">
        <f>Processed_US_CA[[#This Row],[Value]]/B55 * 100</f>
        <v>99.734071618520275</v>
      </c>
      <c r="L56" s="7">
        <f>Processed_US_CA[[#This Row],[Value]]/B44 * 100</f>
        <v>103.40295350681723</v>
      </c>
      <c r="M56" cm="1">
        <f t="array" ref="M56">ROUND( Processed_US_CA[[#This Row],[Value]] / AVERAGE( _xlfn._xlws.FILTER(Processed_US_CA[Value], YEAR(Processed_US_CA[Date])=2020) ), 3) * 100</f>
        <v>127.60000000000001</v>
      </c>
      <c r="N56" s="16" cm="1">
        <f t="array" ref="N56" xml:space="preserve"> Processed_US_CA[[#This Row],[Value]] / _xlfn.XLOOKUP(MIN(_xlfn._xlws.FILTER(Processed_US_CA[Date], YEAR(Processed_US_CA[Date])=YEAR(Processed_US_CA[[#This Row],[Date]]))), Processed_US_CA[Date], Processed_US_CA[Value]) - 1</f>
        <v>9.9400983510729013E-3</v>
      </c>
    </row>
    <row r="57" spans="1:14">
      <c r="A57" s="6">
        <f>rawData_HousePriceIndex_US!A57</f>
        <v>45505</v>
      </c>
      <c r="B57" s="21">
        <f>rawData_HousePriceIndex_US!B57</f>
        <v>357.221</v>
      </c>
      <c r="C57" t="s">
        <v>36</v>
      </c>
      <c r="D57" t="s">
        <v>22</v>
      </c>
      <c r="E57" s="8">
        <v>45505</v>
      </c>
      <c r="F57">
        <v>55</v>
      </c>
      <c r="G57">
        <v>326</v>
      </c>
      <c r="H57">
        <v>312</v>
      </c>
      <c r="I57" s="16">
        <f t="shared" si="0"/>
        <v>3.6722354276595369E-3</v>
      </c>
      <c r="J57" s="16">
        <f>(Processed_US_CA[[#This Row],[Value]]-B45)/B45</f>
        <v>2.8397297305077989E-2</v>
      </c>
      <c r="K57" s="7">
        <f>Processed_US_CA[[#This Row],[Value]]/B56 * 100</f>
        <v>100.36722354276594</v>
      </c>
      <c r="L57" s="7">
        <f>Processed_US_CA[[#This Row],[Value]]/B45 * 100</f>
        <v>102.83972973050778</v>
      </c>
      <c r="M57" cm="1">
        <f t="array" ref="M57">ROUND( Processed_US_CA[[#This Row],[Value]] / AVERAGE( _xlfn._xlws.FILTER(Processed_US_CA[Value], YEAR(Processed_US_CA[Date])=2020) ), 3) * 100</f>
        <v>128</v>
      </c>
      <c r="N57" s="16" cm="1">
        <f t="array" ref="N57" xml:space="preserve"> Processed_US_CA[[#This Row],[Value]] / _xlfn.XLOOKUP(MIN(_xlfn._xlws.FILTER(Processed_US_CA[Date], YEAR(Processed_US_CA[Date])=YEAR(Processed_US_CA[[#This Row],[Date]]))), Processed_US_CA[Date], Processed_US_CA[Value]) - 1</f>
        <v>1.3648836160051747E-2</v>
      </c>
    </row>
    <row r="58" spans="1:14">
      <c r="A58" s="6">
        <f>rawData_HousePriceIndex_US!A58</f>
        <v>45536</v>
      </c>
      <c r="B58" s="21">
        <f>rawData_HousePriceIndex_US!B58</f>
        <v>358.21100000000001</v>
      </c>
      <c r="C58" t="s">
        <v>36</v>
      </c>
      <c r="D58" t="s">
        <v>22</v>
      </c>
      <c r="E58" s="8">
        <v>45536</v>
      </c>
      <c r="F58">
        <v>56</v>
      </c>
      <c r="G58">
        <v>325</v>
      </c>
      <c r="H58">
        <v>313</v>
      </c>
      <c r="I58" s="16">
        <f t="shared" si="0"/>
        <v>2.7713936190761714E-3</v>
      </c>
      <c r="J58" s="16">
        <f>(Processed_US_CA[[#This Row],[Value]]-B46)/B46</f>
        <v>2.0224431089971802E-2</v>
      </c>
      <c r="K58" s="7">
        <f>Processed_US_CA[[#This Row],[Value]]/B57 * 100</f>
        <v>100.27713936190762</v>
      </c>
      <c r="L58" s="7">
        <f>Processed_US_CA[[#This Row],[Value]]/B46 * 100</f>
        <v>102.02244310899718</v>
      </c>
      <c r="M58" cm="1">
        <f t="array" ref="M58">ROUND( Processed_US_CA[[#This Row],[Value]] / AVERAGE( _xlfn._xlws.FILTER(Processed_US_CA[Value], YEAR(Processed_US_CA[Date])=2020) ), 3) * 100</f>
        <v>128.4</v>
      </c>
      <c r="N58" s="16" cm="1">
        <f t="array" ref="N58" xml:space="preserve"> Processed_US_CA[[#This Row],[Value]] / _xlfn.XLOOKUP(MIN(_xlfn._xlws.FILTER(Processed_US_CA[Date], YEAR(Processed_US_CA[Date])=YEAR(Processed_US_CA[[#This Row],[Date]]))), Processed_US_CA[Date], Processed_US_CA[Value]) - 1</f>
        <v>1.6458056076569694E-2</v>
      </c>
    </row>
    <row r="59" spans="1:14">
      <c r="A59" s="6">
        <f>rawData_HousePriceIndex_US!A59</f>
        <v>45566</v>
      </c>
      <c r="B59" s="21">
        <f>rawData_HousePriceIndex_US!B59</f>
        <v>359.06900000000002</v>
      </c>
      <c r="C59" t="s">
        <v>36</v>
      </c>
      <c r="D59" t="s">
        <v>22</v>
      </c>
      <c r="E59" s="8">
        <v>45566</v>
      </c>
      <c r="F59">
        <v>57</v>
      </c>
      <c r="G59">
        <v>325</v>
      </c>
      <c r="H59">
        <v>313</v>
      </c>
      <c r="I59" s="16">
        <f t="shared" si="0"/>
        <v>2.3952363271926434E-3</v>
      </c>
      <c r="J59" s="16">
        <f>(Processed_US_CA[[#This Row],[Value]]-B47)/B47</f>
        <v>1.6084440482759671E-2</v>
      </c>
      <c r="K59" s="7">
        <f>Processed_US_CA[[#This Row],[Value]]/B58 * 100</f>
        <v>100.23952363271927</v>
      </c>
      <c r="L59" s="7">
        <f>Processed_US_CA[[#This Row],[Value]]/B47 * 100</f>
        <v>101.60844404827596</v>
      </c>
      <c r="M59" cm="1">
        <f t="array" ref="M59">ROUND( Processed_US_CA[[#This Row],[Value]] / AVERAGE( _xlfn._xlws.FILTER(Processed_US_CA[Value], YEAR(Processed_US_CA[Date])=2020) ), 3) * 100</f>
        <v>128.69999999999999</v>
      </c>
      <c r="N59" s="16" cm="1">
        <f t="array" ref="N59" xml:space="preserve"> Processed_US_CA[[#This Row],[Value]] / _xlfn.XLOOKUP(MIN(_xlfn._xlws.FILTER(Processed_US_CA[Date], YEAR(Processed_US_CA[Date])=YEAR(Processed_US_CA[[#This Row],[Date]]))), Processed_US_CA[Date], Processed_US_CA[Value]) - 1</f>
        <v>1.8892713337552047E-2</v>
      </c>
    </row>
    <row r="60" spans="1:14">
      <c r="A60" s="6">
        <f>rawData_HousePriceIndex_US!A60</f>
        <v>45597</v>
      </c>
      <c r="B60" s="21">
        <f>rawData_HousePriceIndex_US!B60</f>
        <v>359.49</v>
      </c>
      <c r="C60" t="s">
        <v>36</v>
      </c>
      <c r="D60" t="s">
        <v>22</v>
      </c>
      <c r="E60" s="8">
        <v>45597</v>
      </c>
      <c r="F60">
        <v>58</v>
      </c>
      <c r="G60">
        <v>324</v>
      </c>
      <c r="H60">
        <v>312</v>
      </c>
      <c r="I60" s="16">
        <f t="shared" si="0"/>
        <v>1.1724765992051451E-3</v>
      </c>
      <c r="J60" s="16">
        <f>(Processed_US_CA[[#This Row],[Value]]-B48)/B48</f>
        <v>2.0321857349643872E-2</v>
      </c>
      <c r="K60" s="7">
        <f>Processed_US_CA[[#This Row],[Value]]/B59 * 100</f>
        <v>100.11724765992052</v>
      </c>
      <c r="L60" s="7">
        <f>Processed_US_CA[[#This Row],[Value]]/B48 * 100</f>
        <v>102.0321857349644</v>
      </c>
      <c r="M60" cm="1">
        <f t="array" ref="M60">ROUND( Processed_US_CA[[#This Row],[Value]] / AVERAGE( _xlfn._xlws.FILTER(Processed_US_CA[Value], YEAR(Processed_US_CA[Date])=2020) ), 3) * 100</f>
        <v>128.9</v>
      </c>
      <c r="N60" s="16" cm="1">
        <f t="array" ref="N60" xml:space="preserve"> Processed_US_CA[[#This Row],[Value]] / _xlfn.XLOOKUP(MIN(_xlfn._xlws.FILTER(Processed_US_CA[Date], YEAR(Processed_US_CA[Date])=YEAR(Processed_US_CA[[#This Row],[Date]]))), Processed_US_CA[Date], Processed_US_CA[Value]) - 1</f>
        <v>2.0087341201040942E-2</v>
      </c>
    </row>
    <row r="61" spans="1:14">
      <c r="A61" s="6">
        <f>rawData_HousePriceIndex_US!A61</f>
        <v>45627</v>
      </c>
      <c r="B61" s="21">
        <f>rawData_HousePriceIndex_US!B61</f>
        <v>361.93299999999999</v>
      </c>
      <c r="C61" t="s">
        <v>36</v>
      </c>
      <c r="D61" t="s">
        <v>22</v>
      </c>
      <c r="E61" s="8">
        <v>45627</v>
      </c>
      <c r="F61">
        <v>59</v>
      </c>
      <c r="G61">
        <v>324</v>
      </c>
      <c r="H61">
        <v>311</v>
      </c>
      <c r="I61" s="16">
        <f t="shared" si="0"/>
        <v>6.7957384071879153E-3</v>
      </c>
      <c r="J61" s="16">
        <f>(Processed_US_CA[[#This Row],[Value]]-B49)/B49</f>
        <v>2.8274253439816349E-2</v>
      </c>
      <c r="K61" s="7">
        <f>Processed_US_CA[[#This Row],[Value]]/B60 * 100</f>
        <v>100.67957384071879</v>
      </c>
      <c r="L61" s="7">
        <f>Processed_US_CA[[#This Row],[Value]]/B49 * 100</f>
        <v>102.82742534398164</v>
      </c>
      <c r="M61" cm="1">
        <f t="array" ref="M61">ROUND( Processed_US_CA[[#This Row],[Value]] / AVERAGE( _xlfn._xlws.FILTER(Processed_US_CA[Value], YEAR(Processed_US_CA[Date])=2020) ), 3) * 100</f>
        <v>129.69999999999999</v>
      </c>
      <c r="N61" s="16" cm="1">
        <f t="array" ref="N61" xml:space="preserve"> Processed_US_CA[[#This Row],[Value]] / _xlfn.XLOOKUP(MIN(_xlfn._xlws.FILTER(Processed_US_CA[Date], YEAR(Processed_US_CA[Date])=YEAR(Processed_US_CA[[#This Row],[Date]]))), Processed_US_CA[Date], Processed_US_CA[Value]) - 1</f>
        <v>2.7019587924326904E-2</v>
      </c>
    </row>
    <row r="62" spans="1:14">
      <c r="A62" s="6">
        <f>rawData_HousePriceIndex_US!A62</f>
        <v>45658</v>
      </c>
      <c r="B62" s="21">
        <f>rawData_HousePriceIndex_US!B62</f>
        <v>363.08600000000001</v>
      </c>
      <c r="C62" t="s">
        <v>36</v>
      </c>
      <c r="D62" t="s">
        <v>22</v>
      </c>
      <c r="E62" s="8">
        <v>45658</v>
      </c>
      <c r="F62">
        <v>60</v>
      </c>
      <c r="G62">
        <v>323</v>
      </c>
      <c r="H62">
        <v>311</v>
      </c>
      <c r="I62" s="16">
        <f t="shared" si="0"/>
        <v>3.1856724863442128E-3</v>
      </c>
      <c r="J62" s="16">
        <f>(Processed_US_CA[[#This Row],[Value]]-B50)/B50</f>
        <v>3.0291335968514067E-2</v>
      </c>
      <c r="K62" s="7">
        <f>Processed_US_CA[[#This Row],[Value]]/B61 * 100</f>
        <v>100.31856724863442</v>
      </c>
      <c r="L62" s="7">
        <f>Processed_US_CA[[#This Row],[Value]]/B50 * 100</f>
        <v>103.02913359685139</v>
      </c>
      <c r="M62" cm="1">
        <f t="array" ref="M62">ROUND( Processed_US_CA[[#This Row],[Value]] / AVERAGE( _xlfn._xlws.FILTER(Processed_US_CA[Value], YEAR(Processed_US_CA[Date])=2020) ), 3) * 100</f>
        <v>130.1</v>
      </c>
      <c r="N62" s="16" cm="1">
        <f t="array" ref="N62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63" spans="1:14">
      <c r="A63" s="6">
        <f>rawData_HousePriceIndex_US!A63</f>
        <v>45689</v>
      </c>
      <c r="B63" s="21">
        <f>rawData_HousePriceIndex_US!B63</f>
        <v>364.05</v>
      </c>
      <c r="C63" t="s">
        <v>36</v>
      </c>
      <c r="D63" t="s">
        <v>22</v>
      </c>
      <c r="E63" s="8">
        <v>45689</v>
      </c>
      <c r="F63">
        <v>61</v>
      </c>
      <c r="G63">
        <v>324</v>
      </c>
      <c r="H63">
        <v>313</v>
      </c>
      <c r="I63" s="16">
        <f t="shared" si="0"/>
        <v>2.6550183703034505E-3</v>
      </c>
      <c r="J63" s="16">
        <f>(Processed_US_CA[[#This Row],[Value]]-B51)/B51</f>
        <v>3.0993526023347144E-2</v>
      </c>
      <c r="K63" s="7">
        <f>Processed_US_CA[[#This Row],[Value]]/B62 * 100</f>
        <v>100.26550183703034</v>
      </c>
      <c r="L63" s="7">
        <f>Processed_US_CA[[#This Row],[Value]]/B51 * 100</f>
        <v>103.09935260233472</v>
      </c>
      <c r="M63" cm="1">
        <f t="array" ref="M63">ROUND( Processed_US_CA[[#This Row],[Value]] / AVERAGE( _xlfn._xlws.FILTER(Processed_US_CA[Value], YEAR(Processed_US_CA[Date])=2020) ), 3) * 100</f>
        <v>130.5</v>
      </c>
      <c r="N63" s="16" cm="1">
        <f t="array" ref="N63" xml:space="preserve"> Processed_US_CA[[#This Row],[Value]] / _xlfn.XLOOKUP(MIN(_xlfn._xlws.FILTER(Processed_US_CA[Date], YEAR(Processed_US_CA[Date])=YEAR(Processed_US_CA[[#This Row],[Date]]))), Processed_US_CA[Date], Processed_US_CA[Value]) - 1</f>
        <v>2.6550183703033525E-3</v>
      </c>
    </row>
    <row r="64" spans="1:14">
      <c r="A64" s="6">
        <f>rawData_HousePriceIndex_US!A64</f>
        <v>45717</v>
      </c>
      <c r="B64" s="21">
        <f>rawData_HousePriceIndex_US!B64</f>
        <v>358.46699999999998</v>
      </c>
      <c r="C64" t="s">
        <v>36</v>
      </c>
      <c r="D64" t="s">
        <v>22</v>
      </c>
      <c r="E64" s="8">
        <v>45717</v>
      </c>
      <c r="F64">
        <v>62</v>
      </c>
      <c r="G64">
        <v>325</v>
      </c>
      <c r="H64">
        <v>317</v>
      </c>
      <c r="I64" s="16">
        <f t="shared" si="0"/>
        <v>-1.5335805521219686E-2</v>
      </c>
      <c r="J64" s="16">
        <f>(Processed_US_CA[[#This Row],[Value]]-B52)/B52</f>
        <v>1.5786520674646268E-2</v>
      </c>
      <c r="K64" s="7">
        <f>Processed_US_CA[[#This Row],[Value]]/B63 * 100</f>
        <v>98.466419447878025</v>
      </c>
      <c r="L64" s="7">
        <f>Processed_US_CA[[#This Row],[Value]]/B52 * 100</f>
        <v>101.57865206746463</v>
      </c>
      <c r="M64" cm="1">
        <f t="array" ref="M64">ROUND( Processed_US_CA[[#This Row],[Value]] / AVERAGE( _xlfn._xlws.FILTER(Processed_US_CA[Value], YEAR(Processed_US_CA[Date])=2020) ), 3) * 100</f>
        <v>128.5</v>
      </c>
      <c r="N64" s="16" cm="1">
        <f t="array" ref="N64" xml:space="preserve"> Processed_US_CA[[#This Row],[Value]] / _xlfn.XLOOKUP(MIN(_xlfn._xlws.FILTER(Processed_US_CA[Date], YEAR(Processed_US_CA[Date])=YEAR(Processed_US_CA[[#This Row],[Date]]))), Processed_US_CA[Date], Processed_US_CA[Value]) - 1</f>
        <v>-1.2721503996298456E-2</v>
      </c>
    </row>
    <row r="65" spans="1:14">
      <c r="A65" s="6">
        <f>rawData_HousePriceIndex_US!A65</f>
        <v>45748</v>
      </c>
      <c r="B65" s="21">
        <f>rawData_HousePriceIndex_US!B65</f>
        <v>354.19372711900598</v>
      </c>
      <c r="C65" t="s">
        <v>36</v>
      </c>
      <c r="D65" t="s">
        <v>22</v>
      </c>
      <c r="E65" s="8">
        <v>45748</v>
      </c>
      <c r="F65">
        <v>63</v>
      </c>
      <c r="G65">
        <v>328</v>
      </c>
      <c r="H65">
        <v>321</v>
      </c>
      <c r="I65" s="16">
        <f t="shared" si="0"/>
        <v>-1.1920965893635956E-2</v>
      </c>
      <c r="J65" s="16">
        <f>(Processed_US_CA[[#This Row],[Value]]-B53)/B53</f>
        <v>1.4808355783808881E-3</v>
      </c>
      <c r="K65" s="7">
        <f>Processed_US_CA[[#This Row],[Value]]/B64 * 100</f>
        <v>98.807903410636399</v>
      </c>
      <c r="L65" s="7">
        <f>Processed_US_CA[[#This Row],[Value]]/B53 * 100</f>
        <v>100.14808355783809</v>
      </c>
      <c r="M65" cm="1">
        <f t="array" ref="M65">ROUND( Processed_US_CA[[#This Row],[Value]] / AVERAGE( _xlfn._xlws.FILTER(Processed_US_CA[Value], YEAR(Processed_US_CA[Date])=2020) ), 3) * 100</f>
        <v>127</v>
      </c>
      <c r="N65" s="16" cm="1">
        <f t="array" ref="N65" xml:space="preserve"> Processed_US_CA[[#This Row],[Value]] / _xlfn.XLOOKUP(MIN(_xlfn._xlws.FILTER(Processed_US_CA[Date], YEAR(Processed_US_CA[Date])=YEAR(Processed_US_CA[[#This Row],[Date]]))), Processed_US_CA[Date], Processed_US_CA[Value]) - 1</f>
        <v>-2.4490817274678833E-2</v>
      </c>
    </row>
    <row r="66" spans="1:14">
      <c r="A66" s="6">
        <f>rawData_HousePriceIndex_US!A66</f>
        <v>45778</v>
      </c>
      <c r="B66" s="21">
        <f>rawData_HousePriceIndex_US!B66</f>
        <v>352.11270457490201</v>
      </c>
      <c r="C66" t="s">
        <v>36</v>
      </c>
      <c r="D66" t="s">
        <v>22</v>
      </c>
      <c r="E66" s="8">
        <v>45778</v>
      </c>
      <c r="F66">
        <v>64</v>
      </c>
      <c r="G66">
        <v>330</v>
      </c>
      <c r="H66">
        <v>324</v>
      </c>
      <c r="I66" s="16">
        <f t="shared" si="0"/>
        <v>-5.8753794456804934E-3</v>
      </c>
      <c r="J66" s="16">
        <f>(Processed_US_CA[[#This Row],[Value]]-B54)/B54</f>
        <v>-6.3053882919792432E-3</v>
      </c>
      <c r="K66" s="7">
        <f>Processed_US_CA[[#This Row],[Value]]/B65 * 100</f>
        <v>99.412462055431945</v>
      </c>
      <c r="L66" s="7">
        <f>Processed_US_CA[[#This Row],[Value]]/B54 * 100</f>
        <v>99.369461170802083</v>
      </c>
      <c r="M66" cm="1">
        <f t="array" ref="M66">ROUND( Processed_US_CA[[#This Row],[Value]] / AVERAGE( _xlfn._xlws.FILTER(Processed_US_CA[Value], YEAR(Processed_US_CA[Date])=2020) ), 3) * 100</f>
        <v>126.2</v>
      </c>
      <c r="N66" s="16" cm="1">
        <f t="array" ref="N66" xml:space="preserve"> Processed_US_CA[[#This Row],[Value]] / _xlfn.XLOOKUP(MIN(_xlfn._xlws.FILTER(Processed_US_CA[Date], YEAR(Processed_US_CA[Date])=YEAR(Processed_US_CA[[#This Row],[Date]]))), Processed_US_CA[Date], Processed_US_CA[Value]) - 1</f>
        <v>-3.0222303875935719E-2</v>
      </c>
    </row>
    <row r="67" spans="1:14">
      <c r="A67" s="6">
        <f>rawData_HousePriceIndex_US!A67</f>
        <v>45809</v>
      </c>
      <c r="B67" s="21">
        <f>rawData_HousePriceIndex_US!B67</f>
        <v>350.08568656610299</v>
      </c>
      <c r="C67" t="s">
        <v>36</v>
      </c>
      <c r="D67" t="s">
        <v>22</v>
      </c>
      <c r="E67" s="8">
        <v>45809</v>
      </c>
      <c r="F67">
        <v>65</v>
      </c>
      <c r="G67">
        <v>331</v>
      </c>
      <c r="H67">
        <v>325</v>
      </c>
      <c r="I67" s="16">
        <f t="shared" si="0"/>
        <v>-5.7567306787359267E-3</v>
      </c>
      <c r="J67" s="16">
        <f>(Processed_US_CA[[#This Row],[Value]]-B55)/B55</f>
        <v>-1.8991359244015227E-2</v>
      </c>
      <c r="K67" s="7">
        <f>Processed_US_CA[[#This Row],[Value]]/B66 * 100</f>
        <v>99.424326932126405</v>
      </c>
      <c r="L67" s="7">
        <f>Processed_US_CA[[#This Row],[Value]]/B55 * 100</f>
        <v>98.10086407559848</v>
      </c>
      <c r="M67" cm="1">
        <f t="array" ref="M67">ROUND( Processed_US_CA[[#This Row],[Value]] / AVERAGE( _xlfn._xlws.FILTER(Processed_US_CA[Value], YEAR(Processed_US_CA[Date])=2020) ), 3) * 100</f>
        <v>125.49999999999999</v>
      </c>
      <c r="N67" s="16" cm="1">
        <f t="array" ref="N67" xml:space="preserve"> Processed_US_CA[[#This Row],[Value]] / _xlfn.XLOOKUP(MIN(_xlfn._xlws.FILTER(Processed_US_CA[Date], YEAR(Processed_US_CA[Date])=YEAR(Processed_US_CA[[#This Row],[Date]]))), Processed_US_CA[Date], Processed_US_CA[Value]) - 1</f>
        <v>-3.5805052890766964E-2</v>
      </c>
    </row>
    <row r="68" spans="1:14">
      <c r="A68" s="6">
        <f>rawData_HousePriceIndex_US!A68</f>
        <v>45839</v>
      </c>
      <c r="B68" s="21">
        <f>rawData_HousePriceIndex_US!B68</f>
        <v>350.04962687228198</v>
      </c>
      <c r="C68" t="s">
        <v>36</v>
      </c>
      <c r="D68" t="s">
        <v>22</v>
      </c>
      <c r="E68" s="8">
        <v>45839</v>
      </c>
      <c r="F68">
        <v>66</v>
      </c>
      <c r="G68">
        <v>332</v>
      </c>
      <c r="H68">
        <v>326</v>
      </c>
      <c r="I68" s="16">
        <f t="shared" ref="I68:I69" si="1">(B68-B67)/B67</f>
        <v>-1.0300247969209021E-4</v>
      </c>
      <c r="J68" s="16">
        <f>(Processed_US_CA[[#This Row],[Value]]-B56)/B56</f>
        <v>-1.6476938607972745E-2</v>
      </c>
      <c r="K68" s="7">
        <f>Processed_US_CA[[#This Row],[Value]]/B67 * 100</f>
        <v>99.989699752030788</v>
      </c>
      <c r="L68" s="7">
        <f>Processed_US_CA[[#This Row],[Value]]/B56 * 100</f>
        <v>98.352306139202724</v>
      </c>
      <c r="M68" cm="1">
        <f t="array" ref="M68">ROUND( Processed_US_CA[[#This Row],[Value]] / AVERAGE( _xlfn._xlws.FILTER(Processed_US_CA[Value], YEAR(Processed_US_CA[Date])=2020) ), 3) * 100</f>
        <v>125.49999999999999</v>
      </c>
      <c r="N68" s="16" cm="1">
        <f t="array" ref="N68" xml:space="preserve"> Processed_US_CA[[#This Row],[Value]] / _xlfn.XLOOKUP(MIN(_xlfn._xlws.FILTER(Processed_US_CA[Date], YEAR(Processed_US_CA[Date])=YEAR(Processed_US_CA[[#This Row],[Date]]))), Processed_US_CA[Date], Processed_US_CA[Value]) - 1</f>
        <v>-3.590436736122582E-2</v>
      </c>
    </row>
    <row r="69" spans="1:14">
      <c r="A69" s="6">
        <f>rawData_HousePriceIndex_US!A69</f>
        <v>45870</v>
      </c>
      <c r="B69" s="21">
        <f>rawData_HousePriceIndex_US!B69</f>
        <v>352.52850374678297</v>
      </c>
      <c r="C69" t="s">
        <v>36</v>
      </c>
      <c r="E69" s="8"/>
      <c r="I69" s="16">
        <f t="shared" si="1"/>
        <v>7.0815012621208498E-3</v>
      </c>
      <c r="J69" s="16">
        <f>(Processed_US_CA[[#This Row],[Value]]-B57)/B57</f>
        <v>-1.3136115326974141E-2</v>
      </c>
      <c r="K69" s="7">
        <f>Processed_US_CA[[#This Row],[Value]]/B68 * 100</f>
        <v>100.70815012621208</v>
      </c>
      <c r="L69" s="7">
        <f>Processed_US_CA[[#This Row],[Value]]/B57 * 100</f>
        <v>98.686388467302592</v>
      </c>
      <c r="M69" cm="1">
        <f t="array" ref="M69">ROUND( Processed_US_CA[[#This Row],[Value]] / AVERAGE( _xlfn._xlws.FILTER(Processed_US_CA[Value], YEAR(Processed_US_CA[Date])=2020) ), 3) * 100</f>
        <v>126.4</v>
      </c>
      <c r="N69" s="16" cm="1">
        <f t="array" ref="N69" xml:space="preserve"> Processed_US_CA[[#This Row],[Value]] / _xlfn.XLOOKUP(MIN(_xlfn._xlws.FILTER(Processed_US_CA[Date], YEAR(Processed_US_CA[Date])=YEAR(Processed_US_CA[[#This Row],[Date]]))), Processed_US_CA[Date], Processed_US_CA[Value]) - 1</f>
        <v>-2.9077122921889131E-2</v>
      </c>
    </row>
    <row r="70" spans="1:14">
      <c r="A70" s="6">
        <f>rawData_HousePriceIndex_US!A70</f>
        <v>45901</v>
      </c>
      <c r="B70" s="21">
        <f>rawData_HousePriceIndex_US!B70</f>
        <v>355.21745831006899</v>
      </c>
      <c r="C70" t="s">
        <v>36</v>
      </c>
      <c r="D70" t="s">
        <v>22</v>
      </c>
      <c r="E70" s="8">
        <v>45840</v>
      </c>
      <c r="F70">
        <v>66</v>
      </c>
      <c r="G70">
        <v>332</v>
      </c>
      <c r="H70">
        <v>326</v>
      </c>
      <c r="I70" s="16">
        <f t="shared" ref="I70:I71" si="2">(B70-B69)/B69</f>
        <v>7.6276231133283389E-3</v>
      </c>
      <c r="J70" s="16">
        <f>(Processed_US_CA[[#This Row],[Value]]-B58)/B58</f>
        <v>-8.3569228469561833E-3</v>
      </c>
      <c r="K70" s="7">
        <f>Processed_US_CA[[#This Row],[Value]]/B69 * 100</f>
        <v>100.76276231133284</v>
      </c>
      <c r="L70" s="7">
        <f>Processed_US_CA[[#This Row],[Value]]/B58 * 100</f>
        <v>99.164307715304375</v>
      </c>
      <c r="M70" cm="1">
        <f t="array" ref="M70">ROUND( Processed_US_CA[[#This Row],[Value]] / AVERAGE( _xlfn._xlws.FILTER(Processed_US_CA[Value], YEAR(Processed_US_CA[Date])=2020) ), 3) * 100</f>
        <v>127.3</v>
      </c>
      <c r="N70" s="16" cm="1">
        <f t="array" ref="N70" xml:space="preserve"> Processed_US_CA[[#This Row],[Value]] / _xlfn.XLOOKUP(MIN(_xlfn._xlws.FILTER(Processed_US_CA[Date], YEAR(Processed_US_CA[Date])=YEAR(Processed_US_CA[[#This Row],[Date]]))), Processed_US_CA[Date], Processed_US_CA[Value]) - 1</f>
        <v>-2.1671289143428862E-2</v>
      </c>
    </row>
    <row r="71" spans="1:14">
      <c r="A71" s="6">
        <f>rawData_HousePriceIndex_US!A71</f>
        <v>45931</v>
      </c>
      <c r="B71" s="21">
        <f>rawData_HousePriceIndex_US!B71</f>
        <v>359.24574994296302</v>
      </c>
      <c r="C71" t="s">
        <v>36</v>
      </c>
      <c r="E71" s="8"/>
      <c r="I71" s="16">
        <f t="shared" si="2"/>
        <v>1.1340353742911286E-2</v>
      </c>
      <c r="J71" s="16">
        <f>(Processed_US_CA[[#This Row],[Value]]-B59)/B59</f>
        <v>4.9224506421606789E-4</v>
      </c>
      <c r="K71" s="7">
        <f>Processed_US_CA[[#This Row],[Value]]/B70 * 100</f>
        <v>101.13403537429113</v>
      </c>
      <c r="L71" s="7">
        <f>Processed_US_CA[[#This Row],[Value]]/B59 * 100</f>
        <v>100.0492245064216</v>
      </c>
      <c r="M71" cm="1">
        <f t="array" ref="M71">ROUND( Processed_US_CA[[#This Row],[Value]] / AVERAGE( _xlfn._xlws.FILTER(Processed_US_CA[Value], YEAR(Processed_US_CA[Date])=2020) ), 3) * 100</f>
        <v>128.80000000000001</v>
      </c>
      <c r="N71" s="16" cm="1">
        <f t="array" ref="N71" xml:space="preserve"> Processed_US_CA[[#This Row],[Value]] / _xlfn.XLOOKUP(MIN(_xlfn._xlws.FILTER(Processed_US_CA[Date], YEAR(Processed_US_CA[Date])=YEAR(Processed_US_CA[[#This Row],[Date]]))), Processed_US_CA[Date], Processed_US_CA[Value]) - 1</f>
        <v>-1.0576695485469023E-2</v>
      </c>
    </row>
    <row r="72" spans="1:14">
      <c r="A72" s="6">
        <f>rawData_HousePriceIndex_US!A72</f>
        <v>45962</v>
      </c>
      <c r="B72" s="21">
        <f>rawData_HousePriceIndex_US!B72</f>
        <v>360.80766714937101</v>
      </c>
      <c r="C72" t="s">
        <v>36</v>
      </c>
      <c r="D72" t="s">
        <v>22</v>
      </c>
      <c r="E72" s="8">
        <v>45841</v>
      </c>
      <c r="F72">
        <v>66</v>
      </c>
      <c r="G72">
        <v>332</v>
      </c>
      <c r="H72">
        <v>326</v>
      </c>
      <c r="I72" s="16">
        <f t="shared" ref="I72:I76" si="3">(B72-B71)/B71</f>
        <v>4.3477680853732607E-3</v>
      </c>
      <c r="J72" s="16">
        <f>(Processed_US_CA[[#This Row],[Value]]-B60)/B60</f>
        <v>3.6653791464880932E-3</v>
      </c>
      <c r="K72" s="7">
        <f>Processed_US_CA[[#This Row],[Value]]/B71 * 100</f>
        <v>100.43477680853732</v>
      </c>
      <c r="L72" s="7">
        <f>Processed_US_CA[[#This Row],[Value]]/B60 * 100</f>
        <v>100.3665379146488</v>
      </c>
      <c r="M72" cm="1">
        <f t="array" ref="M72">ROUND( Processed_US_CA[[#This Row],[Value]] / AVERAGE( _xlfn._xlws.FILTER(Processed_US_CA[Value], YEAR(Processed_US_CA[Date])=2020) ), 3) * 100</f>
        <v>129.29999999999998</v>
      </c>
      <c r="N72" s="16" cm="1">
        <f t="array" ref="N72" xml:space="preserve"> Processed_US_CA[[#This Row],[Value]] / _xlfn.XLOOKUP(MIN(_xlfn._xlws.FILTER(Processed_US_CA[Date], YEAR(Processed_US_CA[Date])=YEAR(Processed_US_CA[[#This Row],[Date]]))), Processed_US_CA[Date], Processed_US_CA[Value]) - 1</f>
        <v>-6.2749124191762151E-3</v>
      </c>
    </row>
    <row r="73" spans="1:14">
      <c r="A73" s="6">
        <f>rawData_HousePriceIndex_US!A73</f>
        <v>45992</v>
      </c>
      <c r="B73" s="21">
        <f>rawData_HousePriceIndex_US!B73</f>
        <v>361.20040357866702</v>
      </c>
      <c r="C73" t="s">
        <v>36</v>
      </c>
      <c r="E73" s="8"/>
      <c r="I73" s="16">
        <f t="shared" si="3"/>
        <v>1.088492471346011E-3</v>
      </c>
      <c r="J73" s="16">
        <f>(Processed_US_CA[[#This Row],[Value]]-B61)/B61</f>
        <v>-2.0241216505070586E-3</v>
      </c>
      <c r="K73" s="7">
        <f>Processed_US_CA[[#This Row],[Value]]/B72 * 100</f>
        <v>100.10884924713459</v>
      </c>
      <c r="L73" s="7">
        <f>Processed_US_CA[[#This Row],[Value]]/B61 * 100</f>
        <v>99.797587834949297</v>
      </c>
      <c r="M73" cm="1">
        <f t="array" ref="M73">ROUND( Processed_US_CA[[#This Row],[Value]] / AVERAGE( _xlfn._xlws.FILTER(Processed_US_CA[Value], YEAR(Processed_US_CA[Date])=2020) ), 3) * 100</f>
        <v>129.5</v>
      </c>
      <c r="N73" s="16" cm="1">
        <f t="array" ref="N73" xml:space="preserve"> Processed_US_CA[[#This Row],[Value]] / _xlfn.XLOOKUP(MIN(_xlfn._xlws.FILTER(Processed_US_CA[Date], YEAR(Processed_US_CA[Date])=YEAR(Processed_US_CA[[#This Row],[Date]]))), Processed_US_CA[Date], Processed_US_CA[Value]) - 1</f>
        <v>-5.1932501427567335E-3</v>
      </c>
    </row>
    <row r="74" spans="1:14">
      <c r="A74" s="6">
        <f>rawData_HousePriceIndex_US!A74</f>
        <v>46023</v>
      </c>
      <c r="B74" s="21">
        <f>rawData_HousePriceIndex_US!B74</f>
        <v>360.98095555893298</v>
      </c>
      <c r="C74" t="s">
        <v>36</v>
      </c>
      <c r="D74" t="s">
        <v>22</v>
      </c>
      <c r="E74" s="8">
        <v>45842</v>
      </c>
      <c r="F74">
        <v>66</v>
      </c>
      <c r="G74">
        <v>332</v>
      </c>
      <c r="H74">
        <v>326</v>
      </c>
      <c r="I74" s="16">
        <f t="shared" si="3"/>
        <v>-6.0755197823651123E-4</v>
      </c>
      <c r="J74" s="16">
        <f>(Processed_US_CA[[#This Row],[Value]]-B62)/B62</f>
        <v>-5.7976469515955906E-3</v>
      </c>
      <c r="K74" s="7">
        <f>Processed_US_CA[[#This Row],[Value]]/B73 * 100</f>
        <v>99.939244802176347</v>
      </c>
      <c r="L74" s="7">
        <f>Processed_US_CA[[#This Row],[Value]]/B62 * 100</f>
        <v>99.420235304840446</v>
      </c>
      <c r="M74" cm="1">
        <f t="array" ref="M74">ROUND( Processed_US_CA[[#This Row],[Value]] / AVERAGE( _xlfn._xlws.FILTER(Processed_US_CA[Value], YEAR(Processed_US_CA[Date])=2020) ), 3) * 100</f>
        <v>129.4</v>
      </c>
      <c r="N74" s="16" cm="1">
        <f t="array" ref="N74" xml:space="preserve"> Processed_US_CA[[#This Row],[Value]] / _xlfn.XLOOKUP(MIN(_xlfn._xlws.FILTER(Processed_US_CA[Date], YEAR(Processed_US_CA[Date])=YEAR(Processed_US_CA[[#This Row],[Date]]))), Processed_US_CA[Date], Processed_US_CA[Value]) - 1</f>
        <v>0</v>
      </c>
    </row>
    <row r="75" spans="1:14">
      <c r="A75" s="6">
        <f>rawData_HousePriceIndex_US!A75</f>
        <v>46054</v>
      </c>
      <c r="B75" s="21">
        <f>rawData_HousePriceIndex_US!B75</f>
        <v>361.44834672303</v>
      </c>
      <c r="C75" t="s">
        <v>36</v>
      </c>
      <c r="E75" s="8"/>
      <c r="I75" s="16">
        <f t="shared" si="3"/>
        <v>1.2947806716654279E-3</v>
      </c>
      <c r="J75" s="16">
        <f>(Processed_US_CA[[#This Row],[Value]]-B63)/B63</f>
        <v>-7.1464174618047303E-3</v>
      </c>
      <c r="K75" s="7">
        <f>Processed_US_CA[[#This Row],[Value]]/B74 * 100</f>
        <v>100.12947806716654</v>
      </c>
      <c r="L75" s="7">
        <f>Processed_US_CA[[#This Row],[Value]]/B63 * 100</f>
        <v>99.285358253819524</v>
      </c>
      <c r="M75" cm="1">
        <f t="array" ref="M75">ROUND( Processed_US_CA[[#This Row],[Value]] / AVERAGE( _xlfn._xlws.FILTER(Processed_US_CA[Value], YEAR(Processed_US_CA[Date])=2020) ), 3) * 100</f>
        <v>129.6</v>
      </c>
      <c r="N75" s="16" cm="1">
        <f t="array" ref="N75" xml:space="preserve"> Processed_US_CA[[#This Row],[Value]] / _xlfn.XLOOKUP(MIN(_xlfn._xlws.FILTER(Processed_US_CA[Date], YEAR(Processed_US_CA[Date])=YEAR(Processed_US_CA[[#This Row],[Date]]))), Processed_US_CA[Date], Processed_US_CA[Value]) - 1</f>
        <v>1.2947806716654409E-3</v>
      </c>
    </row>
    <row r="76" spans="1:14">
      <c r="A76" s="6">
        <f>rawData_HousePriceIndex_US!A76</f>
        <v>46082</v>
      </c>
      <c r="B76" s="21">
        <f>rawData_HousePriceIndex_US!B76</f>
        <v>360.15886596558403</v>
      </c>
      <c r="C76" t="s">
        <v>36</v>
      </c>
      <c r="D76" t="s">
        <v>22</v>
      </c>
      <c r="E76" s="8">
        <v>45843</v>
      </c>
      <c r="F76">
        <v>66</v>
      </c>
      <c r="G76">
        <v>332</v>
      </c>
      <c r="H76">
        <v>326</v>
      </c>
      <c r="I76" s="16">
        <f t="shared" si="3"/>
        <v>-3.567538125811578E-3</v>
      </c>
      <c r="J76" s="16">
        <f>(Processed_US_CA[[#This Row],[Value]]-B64)/B64</f>
        <v>4.7197258480809754E-3</v>
      </c>
      <c r="K76" s="7">
        <f>Processed_US_CA[[#This Row],[Value]]/B75 * 100</f>
        <v>99.643246187418839</v>
      </c>
      <c r="L76" s="7">
        <f>Processed_US_CA[[#This Row],[Value]]/B64 * 100</f>
        <v>100.47197258480809</v>
      </c>
      <c r="M76" cm="1">
        <f t="array" ref="M76">ROUND( Processed_US_CA[[#This Row],[Value]] / AVERAGE( _xlfn._xlws.FILTER(Processed_US_CA[Value], YEAR(Processed_US_CA[Date])=2020) ), 3) * 100</f>
        <v>129.1</v>
      </c>
      <c r="N76" s="16" cm="1">
        <f t="array" ref="N76" xml:space="preserve"> Processed_US_CA[[#This Row],[Value]] / _xlfn.XLOOKUP(MIN(_xlfn._xlws.FILTER(Processed_US_CA[Date], YEAR(Processed_US_CA[Date])=YEAR(Processed_US_CA[[#This Row],[Date]]))), Processed_US_CA[Date], Processed_US_CA[Value]) - 1</f>
        <v>-2.2773766335568713E-3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3618-7E7D-B043-ACFB-E6824BD3B6F7}">
  <dimension ref="A1:N77"/>
  <sheetViews>
    <sheetView topLeftCell="A66" workbookViewId="0">
      <selection activeCell="K80" sqref="K80"/>
    </sheetView>
  </sheetViews>
  <sheetFormatPr defaultColWidth="10.78125" defaultRowHeight="27.5"/>
  <cols>
    <col min="1" max="1" width="9.4765625" bestFit="1" customWidth="1"/>
    <col min="2" max="2" width="7.73828125" style="19" customWidth="1"/>
    <col min="3" max="3" width="8.34765625" hidden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9" width="6.82421875" bestFit="1" customWidth="1"/>
    <col min="10" max="10" width="6.21484375" bestFit="1" customWidth="1"/>
    <col min="11" max="11" width="10.390625" style="7" bestFit="1" customWidth="1"/>
    <col min="12" max="12" width="14.171875" style="7" bestFit="1" customWidth="1"/>
    <col min="13" max="13" width="17.6484375" customWidth="1"/>
    <col min="14" max="14" width="10.78125" style="16"/>
  </cols>
  <sheetData>
    <row r="1" spans="1:14">
      <c r="A1" t="s">
        <v>14</v>
      </c>
      <c r="B1" s="19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s="7" t="s">
        <v>0</v>
      </c>
      <c r="L1" s="7" t="s">
        <v>1</v>
      </c>
      <c r="M1" t="s">
        <v>40</v>
      </c>
      <c r="N1" s="16" t="s">
        <v>34</v>
      </c>
    </row>
    <row r="2" spans="1:14">
      <c r="A2" s="18">
        <f>rawData_RentPriceIndex_HK!A2</f>
        <v>43831</v>
      </c>
      <c r="B2" s="20">
        <f>rawData_RentPriceIndex_HK!B2</f>
        <v>185.5</v>
      </c>
      <c r="C2" t="s">
        <v>35</v>
      </c>
      <c r="D2" t="s">
        <v>22</v>
      </c>
      <c r="E2" s="8">
        <v>43831</v>
      </c>
      <c r="F2">
        <v>0</v>
      </c>
      <c r="M2" s="7" cm="1">
        <f t="array" ref="M2">ROUND( Processed_RentPrice_CN_HK__2[[#This Row],[Value]] / AVERAGE( _xlfn._xlws.FILTER(Processed_RentPrice_CN_HK__2[Value], YEAR(Processed_RentPrice_CN_HK__2[Date])=2020) ), 3) * 100</f>
        <v>102.89999999999999</v>
      </c>
      <c r="N2" s="16" cm="1">
        <f t="array" ref="N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3" spans="1:14">
      <c r="A3" s="18">
        <f>rawData_RentPriceIndex_HK!A3</f>
        <v>43862</v>
      </c>
      <c r="B3" s="20">
        <f>rawData_RentPriceIndex_HK!B3</f>
        <v>185</v>
      </c>
      <c r="C3" t="s">
        <v>35</v>
      </c>
      <c r="D3" t="s">
        <v>22</v>
      </c>
      <c r="E3" s="8">
        <v>43862</v>
      </c>
      <c r="F3">
        <v>1</v>
      </c>
      <c r="G3">
        <v>186</v>
      </c>
      <c r="I3" s="16">
        <f>(B3-B2)/B2</f>
        <v>-2.6954177897574125E-3</v>
      </c>
      <c r="K3" s="7">
        <f>Processed_RentPrice_CN_HK__2[[#This Row],[Value]]/B2 * 100</f>
        <v>99.73045822102425</v>
      </c>
      <c r="M3" s="7" cm="1">
        <f t="array" ref="M3">ROUND( Processed_RentPrice_CN_HK__2[[#This Row],[Value]] / AVERAGE( _xlfn._xlws.FILTER(Processed_RentPrice_CN_HK__2[Value], YEAR(Processed_RentPrice_CN_HK__2[Date])=2020) ), 3) * 100</f>
        <v>102.60000000000001</v>
      </c>
      <c r="N3" s="16" cm="1">
        <f t="array" ref="N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-2.6954177897574594E-3</v>
      </c>
    </row>
    <row r="4" spans="1:14">
      <c r="A4" s="18">
        <f>rawData_RentPriceIndex_HK!A4</f>
        <v>43891</v>
      </c>
      <c r="B4" s="20">
        <f>rawData_RentPriceIndex_HK!B4</f>
        <v>181.7</v>
      </c>
      <c r="C4" t="s">
        <v>35</v>
      </c>
      <c r="D4" t="s">
        <v>22</v>
      </c>
      <c r="E4" s="8">
        <v>43891</v>
      </c>
      <c r="F4">
        <v>2</v>
      </c>
      <c r="G4">
        <v>185</v>
      </c>
      <c r="I4" s="16">
        <f t="shared" ref="I4:I67" si="0">(B4-B3)/B3</f>
        <v>-1.7837837837837899E-2</v>
      </c>
      <c r="K4" s="7">
        <f>Processed_RentPrice_CN_HK__2[[#This Row],[Value]]/B3 * 100</f>
        <v>98.21621621621621</v>
      </c>
      <c r="M4" s="7" cm="1">
        <f t="array" ref="M4">ROUND( Processed_RentPrice_CN_HK__2[[#This Row],[Value]] / AVERAGE( _xlfn._xlws.FILTER(Processed_RentPrice_CN_HK__2[Value], YEAR(Processed_RentPrice_CN_HK__2[Date])=2020) ), 3) * 100</f>
        <v>100.8</v>
      </c>
      <c r="N4" s="16" cm="1">
        <f t="array" ref="N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-2.0485175202156425E-2</v>
      </c>
    </row>
    <row r="5" spans="1:14">
      <c r="A5" s="18">
        <f>rawData_RentPriceIndex_HK!A5</f>
        <v>43922</v>
      </c>
      <c r="B5" s="20">
        <f>rawData_RentPriceIndex_HK!B5</f>
        <v>179.9</v>
      </c>
      <c r="C5" t="s">
        <v>35</v>
      </c>
      <c r="D5" t="s">
        <v>22</v>
      </c>
      <c r="E5" s="8">
        <v>43922</v>
      </c>
      <c r="F5">
        <v>3</v>
      </c>
      <c r="G5">
        <v>182</v>
      </c>
      <c r="I5" s="16">
        <f t="shared" si="0"/>
        <v>-9.9064391854704632E-3</v>
      </c>
      <c r="K5" s="7">
        <f>Processed_RentPrice_CN_HK__2[[#This Row],[Value]]/B4 * 100</f>
        <v>99.00935608145295</v>
      </c>
      <c r="M5" s="7" cm="1">
        <f t="array" ref="M5">ROUND( Processed_RentPrice_CN_HK__2[[#This Row],[Value]] / AVERAGE( _xlfn._xlws.FILTER(Processed_RentPrice_CN_HK__2[Value], YEAR(Processed_RentPrice_CN_HK__2[Date])=2020) ), 3) * 100</f>
        <v>99.8</v>
      </c>
      <c r="N5" s="16" cm="1">
        <f t="array" ref="N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-3.0188679245283012E-2</v>
      </c>
    </row>
    <row r="6" spans="1:14">
      <c r="A6" s="18">
        <f>rawData_RentPriceIndex_HK!A6</f>
        <v>43952</v>
      </c>
      <c r="B6" s="20">
        <f>rawData_RentPriceIndex_HK!B6</f>
        <v>177.6</v>
      </c>
      <c r="C6" t="s">
        <v>35</v>
      </c>
      <c r="D6" t="s">
        <v>22</v>
      </c>
      <c r="E6" s="8">
        <v>43952</v>
      </c>
      <c r="F6">
        <v>4</v>
      </c>
      <c r="G6">
        <v>180</v>
      </c>
      <c r="I6" s="16">
        <f t="shared" si="0"/>
        <v>-1.2784880489160707E-2</v>
      </c>
      <c r="K6" s="7">
        <f>Processed_RentPrice_CN_HK__2[[#This Row],[Value]]/B5 * 100</f>
        <v>98.721511951083926</v>
      </c>
      <c r="M6" s="7" cm="1">
        <f t="array" ref="M6">ROUND( Processed_RentPrice_CN_HK__2[[#This Row],[Value]] / AVERAGE( _xlfn._xlws.FILTER(Processed_RentPrice_CN_HK__2[Value], YEAR(Processed_RentPrice_CN_HK__2[Date])=2020) ), 3) * 100</f>
        <v>98.5</v>
      </c>
      <c r="N6" s="16" cm="1">
        <f t="array" ref="N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-4.258760107816717E-2</v>
      </c>
    </row>
    <row r="7" spans="1:14">
      <c r="A7" s="18">
        <f>rawData_RentPriceIndex_HK!A7</f>
        <v>43983</v>
      </c>
      <c r="B7" s="20">
        <f>rawData_RentPriceIndex_HK!B7</f>
        <v>180.1</v>
      </c>
      <c r="C7" t="s">
        <v>35</v>
      </c>
      <c r="D7" t="s">
        <v>22</v>
      </c>
      <c r="E7" s="8">
        <v>43983</v>
      </c>
      <c r="F7">
        <v>5</v>
      </c>
      <c r="G7">
        <v>178</v>
      </c>
      <c r="I7" s="16">
        <f t="shared" si="0"/>
        <v>1.4076576576576577E-2</v>
      </c>
      <c r="K7" s="7">
        <f>Processed_RentPrice_CN_HK__2[[#This Row],[Value]]/B6 * 100</f>
        <v>101.40765765765767</v>
      </c>
      <c r="M7" s="7" cm="1">
        <f t="array" ref="M7">ROUND( Processed_RentPrice_CN_HK__2[[#This Row],[Value]] / AVERAGE( _xlfn._xlws.FILTER(Processed_RentPrice_CN_HK__2[Value], YEAR(Processed_RentPrice_CN_HK__2[Date])=2020) ), 3) * 100</f>
        <v>99.9</v>
      </c>
      <c r="N7" s="16" cm="1">
        <f t="array" ref="N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-2.9110512129380095E-2</v>
      </c>
    </row>
    <row r="8" spans="1:14">
      <c r="A8" s="18">
        <f>rawData_RentPriceIndex_HK!A8</f>
        <v>44013</v>
      </c>
      <c r="B8" s="20">
        <f>rawData_RentPriceIndex_HK!B8</f>
        <v>180.6</v>
      </c>
      <c r="C8" t="s">
        <v>35</v>
      </c>
      <c r="D8" t="s">
        <v>22</v>
      </c>
      <c r="E8" s="8">
        <v>44013</v>
      </c>
      <c r="F8">
        <v>6</v>
      </c>
      <c r="G8">
        <v>180</v>
      </c>
      <c r="I8" s="16">
        <f t="shared" si="0"/>
        <v>2.7762354247640201E-3</v>
      </c>
      <c r="K8" s="7">
        <f>Processed_RentPrice_CN_HK__2[[#This Row],[Value]]/B7 * 100</f>
        <v>100.27762354247641</v>
      </c>
      <c r="M8" s="7" cm="1">
        <f t="array" ref="M8">ROUND( Processed_RentPrice_CN_HK__2[[#This Row],[Value]] / AVERAGE( _xlfn._xlws.FILTER(Processed_RentPrice_CN_HK__2[Value], YEAR(Processed_RentPrice_CN_HK__2[Date])=2020) ), 3) * 100</f>
        <v>100.2</v>
      </c>
      <c r="N8" s="16" cm="1">
        <f t="array" ref="N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-2.6415094339622636E-2</v>
      </c>
    </row>
    <row r="9" spans="1:14">
      <c r="A9" s="18">
        <f>rawData_RentPriceIndex_HK!A9</f>
        <v>44044</v>
      </c>
      <c r="B9" s="20">
        <f>rawData_RentPriceIndex_HK!B9</f>
        <v>181.2</v>
      </c>
      <c r="C9" t="s">
        <v>35</v>
      </c>
      <c r="D9" t="s">
        <v>22</v>
      </c>
      <c r="E9" s="8">
        <v>44044</v>
      </c>
      <c r="F9">
        <v>7</v>
      </c>
      <c r="G9">
        <v>181</v>
      </c>
      <c r="I9" s="16">
        <f t="shared" si="0"/>
        <v>3.322259136212593E-3</v>
      </c>
      <c r="K9" s="7">
        <f>Processed_RentPrice_CN_HK__2[[#This Row],[Value]]/B8 * 100</f>
        <v>100.33222591362126</v>
      </c>
      <c r="M9" s="7" cm="1">
        <f t="array" ref="M9">ROUND( Processed_RentPrice_CN_HK__2[[#This Row],[Value]] / AVERAGE( _xlfn._xlws.FILTER(Processed_RentPrice_CN_HK__2[Value], YEAR(Processed_RentPrice_CN_HK__2[Date])=2020) ), 3) * 100</f>
        <v>100.49999999999999</v>
      </c>
      <c r="N9" s="16" cm="1">
        <f t="array" ref="N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-2.3180592991913773E-2</v>
      </c>
    </row>
    <row r="10" spans="1:14">
      <c r="A10" s="18">
        <f>rawData_RentPriceIndex_HK!A10</f>
        <v>44075</v>
      </c>
      <c r="B10" s="20">
        <f>rawData_RentPriceIndex_HK!B10</f>
        <v>178.8</v>
      </c>
      <c r="C10" t="s">
        <v>35</v>
      </c>
      <c r="D10" t="s">
        <v>22</v>
      </c>
      <c r="E10" s="8">
        <v>44075</v>
      </c>
      <c r="F10">
        <v>8</v>
      </c>
      <c r="G10">
        <v>181</v>
      </c>
      <c r="I10" s="16">
        <f t="shared" si="0"/>
        <v>-1.3245033112582657E-2</v>
      </c>
      <c r="K10" s="7">
        <f>Processed_RentPrice_CN_HK__2[[#This Row],[Value]]/B9 * 100</f>
        <v>98.675496688741731</v>
      </c>
      <c r="M10" s="7" cm="1">
        <f t="array" ref="M10">ROUND( Processed_RentPrice_CN_HK__2[[#This Row],[Value]] / AVERAGE( _xlfn._xlws.FILTER(Processed_RentPrice_CN_HK__2[Value], YEAR(Processed_RentPrice_CN_HK__2[Date])=2020) ), 3) * 100</f>
        <v>99.2</v>
      </c>
      <c r="N10" s="16" cm="1">
        <f t="array" ref="N1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-3.6118598382749223E-2</v>
      </c>
    </row>
    <row r="11" spans="1:14">
      <c r="A11" s="18">
        <f>rawData_RentPriceIndex_HK!A11</f>
        <v>44105</v>
      </c>
      <c r="B11" s="20">
        <f>rawData_RentPriceIndex_HK!B11</f>
        <v>178.2</v>
      </c>
      <c r="C11" t="s">
        <v>35</v>
      </c>
      <c r="D11" t="s">
        <v>22</v>
      </c>
      <c r="E11" s="8">
        <v>44105</v>
      </c>
      <c r="F11">
        <v>9</v>
      </c>
      <c r="G11">
        <v>179</v>
      </c>
      <c r="I11" s="16">
        <f t="shared" si="0"/>
        <v>-3.3557046979867042E-3</v>
      </c>
      <c r="K11" s="7">
        <f>Processed_RentPrice_CN_HK__2[[#This Row],[Value]]/B10 * 100</f>
        <v>99.664429530201332</v>
      </c>
      <c r="M11" s="7" cm="1">
        <f t="array" ref="M11">ROUND( Processed_RentPrice_CN_HK__2[[#This Row],[Value]] / AVERAGE( _xlfn._xlws.FILTER(Processed_RentPrice_CN_HK__2[Value], YEAR(Processed_RentPrice_CN_HK__2[Date])=2020) ), 3) * 100</f>
        <v>98.8</v>
      </c>
      <c r="N11" s="16" cm="1">
        <f t="array" ref="N1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-3.9353099730458307E-2</v>
      </c>
    </row>
    <row r="12" spans="1:14">
      <c r="A12" s="18">
        <f>rawData_RentPriceIndex_HK!A12</f>
        <v>44136</v>
      </c>
      <c r="B12" s="20">
        <f>rawData_RentPriceIndex_HK!B12</f>
        <v>178.5</v>
      </c>
      <c r="C12" t="s">
        <v>35</v>
      </c>
      <c r="D12" t="s">
        <v>22</v>
      </c>
      <c r="E12" s="8">
        <v>44136</v>
      </c>
      <c r="F12">
        <v>10</v>
      </c>
      <c r="G12">
        <v>178</v>
      </c>
      <c r="I12" s="16">
        <f t="shared" si="0"/>
        <v>1.6835016835017474E-3</v>
      </c>
      <c r="K12" s="7">
        <f>Processed_RentPrice_CN_HK__2[[#This Row],[Value]]/B11 * 100</f>
        <v>100.16835016835017</v>
      </c>
      <c r="M12" s="7" cm="1">
        <f t="array" ref="M12">ROUND( Processed_RentPrice_CN_HK__2[[#This Row],[Value]] / AVERAGE( _xlfn._xlws.FILTER(Processed_RentPrice_CN_HK__2[Value], YEAR(Processed_RentPrice_CN_HK__2[Date])=2020) ), 3) * 100</f>
        <v>99</v>
      </c>
      <c r="N12" s="16" cm="1">
        <f t="array" ref="N1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-3.7735849056603765E-2</v>
      </c>
    </row>
    <row r="13" spans="1:14">
      <c r="A13" s="18">
        <f>rawData_RentPriceIndex_HK!A13</f>
        <v>44166</v>
      </c>
      <c r="B13" s="20">
        <f>rawData_RentPriceIndex_HK!B13</f>
        <v>176.6</v>
      </c>
      <c r="C13" t="s">
        <v>35</v>
      </c>
      <c r="D13" t="s">
        <v>22</v>
      </c>
      <c r="E13" s="8">
        <v>44166</v>
      </c>
      <c r="F13">
        <v>11</v>
      </c>
      <c r="G13">
        <v>178</v>
      </c>
      <c r="I13" s="16">
        <f t="shared" si="0"/>
        <v>-1.0644257703081264E-2</v>
      </c>
      <c r="K13" s="7">
        <f>Processed_RentPrice_CN_HK__2[[#This Row],[Value]]/B12 * 100</f>
        <v>98.935574229691866</v>
      </c>
      <c r="M13" s="7" cm="1">
        <f t="array" ref="M13">ROUND( Processed_RentPrice_CN_HK__2[[#This Row],[Value]] / AVERAGE( _xlfn._xlws.FILTER(Processed_RentPrice_CN_HK__2[Value], YEAR(Processed_RentPrice_CN_HK__2[Date])=2020) ), 3) * 100</f>
        <v>97.899999999999991</v>
      </c>
      <c r="N13" s="16" cm="1">
        <f t="array" ref="N1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-4.7978436657681978E-2</v>
      </c>
    </row>
    <row r="14" spans="1:14">
      <c r="A14" s="18">
        <f>rawData_RentPriceIndex_HK!A14</f>
        <v>44197</v>
      </c>
      <c r="B14" s="20">
        <f>rawData_RentPriceIndex_HK!B14</f>
        <v>175.9</v>
      </c>
      <c r="C14" t="s">
        <v>35</v>
      </c>
      <c r="D14" t="s">
        <v>22</v>
      </c>
      <c r="E14" s="8">
        <v>44197</v>
      </c>
      <c r="F14">
        <v>12</v>
      </c>
      <c r="G14">
        <v>177</v>
      </c>
      <c r="H14">
        <v>186</v>
      </c>
      <c r="I14" s="16">
        <f t="shared" si="0"/>
        <v>-3.963759909399709E-3</v>
      </c>
      <c r="J14" s="16">
        <f>(Processed_RentPrice_CN_HK__2[[#This Row],[Value]]-B2)/B2</f>
        <v>-5.1752021563342285E-2</v>
      </c>
      <c r="K14" s="7">
        <f>Processed_RentPrice_CN_HK__2[[#This Row],[Value]]/B13 * 100</f>
        <v>99.603624009060027</v>
      </c>
      <c r="L14" s="7">
        <f>Processed_RentPrice_CN_HK__2[[#This Row],[Value]]/B2 * 100</f>
        <v>94.824797843665777</v>
      </c>
      <c r="M14" s="7" cm="1">
        <f t="array" ref="M14">ROUND( Processed_RentPrice_CN_HK__2[[#This Row],[Value]] / AVERAGE( _xlfn._xlws.FILTER(Processed_RentPrice_CN_HK__2[Value], YEAR(Processed_RentPrice_CN_HK__2[Date])=2020) ), 3) * 100</f>
        <v>97.6</v>
      </c>
      <c r="N14" s="16" cm="1">
        <f t="array" ref="N1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15" spans="1:14">
      <c r="A15" s="18">
        <f>rawData_RentPriceIndex_HK!A15</f>
        <v>44228</v>
      </c>
      <c r="B15" s="20">
        <f>rawData_RentPriceIndex_HK!B15</f>
        <v>174.1</v>
      </c>
      <c r="C15" t="s">
        <v>35</v>
      </c>
      <c r="D15" t="s">
        <v>22</v>
      </c>
      <c r="E15" s="8">
        <v>44228</v>
      </c>
      <c r="F15">
        <v>13</v>
      </c>
      <c r="G15">
        <v>176</v>
      </c>
      <c r="H15">
        <v>185</v>
      </c>
      <c r="I15" s="16">
        <f t="shared" si="0"/>
        <v>-1.0233086981239405E-2</v>
      </c>
      <c r="J15" s="16">
        <f>(Processed_RentPrice_CN_HK__2[[#This Row],[Value]]-B3)/B3</f>
        <v>-5.8918918918918949E-2</v>
      </c>
      <c r="K15" s="7">
        <f>Processed_RentPrice_CN_HK__2[[#This Row],[Value]]/B14 * 100</f>
        <v>98.976691301876059</v>
      </c>
      <c r="L15" s="7">
        <f>Processed_RentPrice_CN_HK__2[[#This Row],[Value]]/B3 * 100</f>
        <v>94.108108108108098</v>
      </c>
      <c r="M15" s="7" cm="1">
        <f t="array" ref="M15">ROUND( Processed_RentPrice_CN_HK__2[[#This Row],[Value]] / AVERAGE( _xlfn._xlws.FILTER(Processed_RentPrice_CN_HK__2[Value], YEAR(Processed_RentPrice_CN_HK__2[Date])=2020) ), 3) * 100</f>
        <v>96.6</v>
      </c>
      <c r="N15" s="16" cm="1">
        <f t="array" ref="N1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-1.023308698123937E-2</v>
      </c>
    </row>
    <row r="16" spans="1:14">
      <c r="A16" s="18">
        <f>rawData_RentPriceIndex_HK!A16</f>
        <v>44256</v>
      </c>
      <c r="B16" s="20">
        <f>rawData_RentPriceIndex_HK!B16</f>
        <v>175.2</v>
      </c>
      <c r="C16" t="s">
        <v>35</v>
      </c>
      <c r="D16" t="s">
        <v>22</v>
      </c>
      <c r="E16" s="8">
        <v>44256</v>
      </c>
      <c r="F16">
        <v>14</v>
      </c>
      <c r="G16">
        <v>174</v>
      </c>
      <c r="H16">
        <v>182</v>
      </c>
      <c r="I16" s="16">
        <f t="shared" si="0"/>
        <v>6.3182079264790022E-3</v>
      </c>
      <c r="J16" s="16">
        <f>(Processed_RentPrice_CN_HK__2[[#This Row],[Value]]-B4)/B4</f>
        <v>-3.5773252614199232E-2</v>
      </c>
      <c r="K16" s="7">
        <f>Processed_RentPrice_CN_HK__2[[#This Row],[Value]]/B15 * 100</f>
        <v>100.6318207926479</v>
      </c>
      <c r="L16" s="7">
        <f>Processed_RentPrice_CN_HK__2[[#This Row],[Value]]/B4 * 100</f>
        <v>96.422674738580071</v>
      </c>
      <c r="M16" s="7" cm="1">
        <f t="array" ref="M16">ROUND( Processed_RentPrice_CN_HK__2[[#This Row],[Value]] / AVERAGE( _xlfn._xlws.FILTER(Processed_RentPrice_CN_HK__2[Value], YEAR(Processed_RentPrice_CN_HK__2[Date])=2020) ), 3) * 100</f>
        <v>97.2</v>
      </c>
      <c r="N16" s="16" cm="1">
        <f t="array" ref="N1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-3.9795338260376623E-3</v>
      </c>
    </row>
    <row r="17" spans="1:14">
      <c r="A17" s="18">
        <f>rawData_RentPriceIndex_HK!A17</f>
        <v>44287</v>
      </c>
      <c r="B17" s="20">
        <f>rawData_RentPriceIndex_HK!B17</f>
        <v>177.5</v>
      </c>
      <c r="C17" t="s">
        <v>35</v>
      </c>
      <c r="D17" t="s">
        <v>22</v>
      </c>
      <c r="E17" s="8">
        <v>44287</v>
      </c>
      <c r="F17">
        <v>15</v>
      </c>
      <c r="G17">
        <v>175</v>
      </c>
      <c r="H17">
        <v>180</v>
      </c>
      <c r="I17" s="16">
        <f t="shared" si="0"/>
        <v>1.3127853881278604E-2</v>
      </c>
      <c r="J17" s="16">
        <f>(Processed_RentPrice_CN_HK__2[[#This Row],[Value]]-B5)/B5</f>
        <v>-1.3340744858254617E-2</v>
      </c>
      <c r="K17" s="7">
        <f>Processed_RentPrice_CN_HK__2[[#This Row],[Value]]/B16 * 100</f>
        <v>101.31278538812786</v>
      </c>
      <c r="L17" s="7">
        <f>Processed_RentPrice_CN_HK__2[[#This Row],[Value]]/B5 * 100</f>
        <v>98.665925514174532</v>
      </c>
      <c r="M17" s="7" cm="1">
        <f t="array" ref="M17">ROUND( Processed_RentPrice_CN_HK__2[[#This Row],[Value]] / AVERAGE( _xlfn._xlws.FILTER(Processed_RentPrice_CN_HK__2[Value], YEAR(Processed_RentPrice_CN_HK__2[Date])=2020) ), 3) * 100</f>
        <v>98.4</v>
      </c>
      <c r="N17" s="16" cm="1">
        <f t="array" ref="N1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9.0960773166570696E-3</v>
      </c>
    </row>
    <row r="18" spans="1:14">
      <c r="A18" s="18">
        <f>rawData_RentPriceIndex_HK!A18</f>
        <v>44317</v>
      </c>
      <c r="B18" s="20">
        <f>rawData_RentPriceIndex_HK!B18</f>
        <v>178.3</v>
      </c>
      <c r="C18" t="s">
        <v>35</v>
      </c>
      <c r="D18" t="s">
        <v>22</v>
      </c>
      <c r="E18" s="8">
        <v>44317</v>
      </c>
      <c r="F18">
        <v>16</v>
      </c>
      <c r="G18">
        <v>178</v>
      </c>
      <c r="H18">
        <v>178</v>
      </c>
      <c r="I18" s="16">
        <f t="shared" si="0"/>
        <v>4.5070422535211912E-3</v>
      </c>
      <c r="J18" s="16">
        <f>(Processed_RentPrice_CN_HK__2[[#This Row],[Value]]-B6)/B6</f>
        <v>3.9414414414415374E-3</v>
      </c>
      <c r="K18" s="7">
        <f>Processed_RentPrice_CN_HK__2[[#This Row],[Value]]/B17 * 100</f>
        <v>100.45070422535211</v>
      </c>
      <c r="L18" s="7">
        <f>Processed_RentPrice_CN_HK__2[[#This Row],[Value]]/B6 * 100</f>
        <v>100.39414414414416</v>
      </c>
      <c r="M18" s="7" cm="1">
        <f t="array" ref="M18">ROUND( Processed_RentPrice_CN_HK__2[[#This Row],[Value]] / AVERAGE( _xlfn._xlws.FILTER(Processed_RentPrice_CN_HK__2[Value], YEAR(Processed_RentPrice_CN_HK__2[Date])=2020) ), 3) * 100</f>
        <v>98.9</v>
      </c>
      <c r="N18" s="16" cm="1">
        <f t="array" ref="N1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1.3644115974985827E-2</v>
      </c>
    </row>
    <row r="19" spans="1:14">
      <c r="A19" s="18">
        <f>rawData_RentPriceIndex_HK!A19</f>
        <v>44348</v>
      </c>
      <c r="B19" s="20">
        <f>rawData_RentPriceIndex_HK!B19</f>
        <v>179.3</v>
      </c>
      <c r="C19" t="s">
        <v>35</v>
      </c>
      <c r="D19" t="s">
        <v>22</v>
      </c>
      <c r="E19" s="8">
        <v>44348</v>
      </c>
      <c r="F19">
        <v>17</v>
      </c>
      <c r="G19">
        <v>178</v>
      </c>
      <c r="H19">
        <v>180</v>
      </c>
      <c r="I19" s="16">
        <f t="shared" si="0"/>
        <v>5.6085249579360622E-3</v>
      </c>
      <c r="J19" s="16">
        <f>(Processed_RentPrice_CN_HK__2[[#This Row],[Value]]-B7)/B7</f>
        <v>-4.4419766796223378E-3</v>
      </c>
      <c r="K19" s="7">
        <f>Processed_RentPrice_CN_HK__2[[#This Row],[Value]]/B18 * 100</f>
        <v>100.56085249579361</v>
      </c>
      <c r="L19" s="7">
        <f>Processed_RentPrice_CN_HK__2[[#This Row],[Value]]/B7 * 100</f>
        <v>99.555802332037771</v>
      </c>
      <c r="M19" s="7" cm="1">
        <f t="array" ref="M19">ROUND( Processed_RentPrice_CN_HK__2[[#This Row],[Value]] / AVERAGE( _xlfn._xlws.FILTER(Processed_RentPrice_CN_HK__2[Value], YEAR(Processed_RentPrice_CN_HK__2[Date])=2020) ), 3) * 100</f>
        <v>99.4</v>
      </c>
      <c r="N19" s="16" cm="1">
        <f t="array" ref="N1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1.9329164297896551E-2</v>
      </c>
    </row>
    <row r="20" spans="1:14">
      <c r="A20" s="18">
        <f>rawData_RentPriceIndex_HK!A20</f>
        <v>44378</v>
      </c>
      <c r="B20" s="20">
        <f>rawData_RentPriceIndex_HK!B20</f>
        <v>180.3</v>
      </c>
      <c r="C20" t="s">
        <v>35</v>
      </c>
      <c r="D20" t="s">
        <v>22</v>
      </c>
      <c r="E20" s="8">
        <v>44378</v>
      </c>
      <c r="F20">
        <v>18</v>
      </c>
      <c r="G20">
        <v>179</v>
      </c>
      <c r="H20">
        <v>181</v>
      </c>
      <c r="I20" s="16">
        <f t="shared" si="0"/>
        <v>5.5772448410485219E-3</v>
      </c>
      <c r="J20" s="16">
        <f>(Processed_RentPrice_CN_HK__2[[#This Row],[Value]]-B8)/B8</f>
        <v>-1.661129568106218E-3</v>
      </c>
      <c r="K20" s="7">
        <f>Processed_RentPrice_CN_HK__2[[#This Row],[Value]]/B19 * 100</f>
        <v>100.55772448410485</v>
      </c>
      <c r="L20" s="7">
        <f>Processed_RentPrice_CN_HK__2[[#This Row],[Value]]/B8 * 100</f>
        <v>99.833887043189378</v>
      </c>
      <c r="M20" s="7" cm="1">
        <f t="array" ref="M20">ROUND( Processed_RentPrice_CN_HK__2[[#This Row],[Value]] / AVERAGE( _xlfn._xlws.FILTER(Processed_RentPrice_CN_HK__2[Value], YEAR(Processed_RentPrice_CN_HK__2[Date])=2020) ), 3) * 100</f>
        <v>100</v>
      </c>
      <c r="N20" s="16" cm="1">
        <f t="array" ref="N2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2.5014212620807275E-2</v>
      </c>
    </row>
    <row r="21" spans="1:14">
      <c r="A21" s="18">
        <f>rawData_RentPriceIndex_HK!A21</f>
        <v>44409</v>
      </c>
      <c r="B21" s="20">
        <f>rawData_RentPriceIndex_HK!B21</f>
        <v>182.6</v>
      </c>
      <c r="C21" t="s">
        <v>35</v>
      </c>
      <c r="D21" t="s">
        <v>22</v>
      </c>
      <c r="E21" s="8">
        <v>44409</v>
      </c>
      <c r="F21">
        <v>19</v>
      </c>
      <c r="G21">
        <v>180</v>
      </c>
      <c r="H21">
        <v>181</v>
      </c>
      <c r="I21" s="16">
        <f t="shared" si="0"/>
        <v>1.2756516916250599E-2</v>
      </c>
      <c r="J21" s="16">
        <f>(Processed_RentPrice_CN_HK__2[[#This Row],[Value]]-B9)/B9</f>
        <v>7.7262693156733208E-3</v>
      </c>
      <c r="K21" s="7">
        <f>Processed_RentPrice_CN_HK__2[[#This Row],[Value]]/B20 * 100</f>
        <v>101.27565169162507</v>
      </c>
      <c r="L21" s="7">
        <f>Processed_RentPrice_CN_HK__2[[#This Row],[Value]]/B9 * 100</f>
        <v>100.77262693156732</v>
      </c>
      <c r="M21" s="7" cm="1">
        <f t="array" ref="M21">ROUND( Processed_RentPrice_CN_HK__2[[#This Row],[Value]] / AVERAGE( _xlfn._xlws.FILTER(Processed_RentPrice_CN_HK__2[Value], YEAR(Processed_RentPrice_CN_HK__2[Date])=2020) ), 3) * 100</f>
        <v>101.29999999999998</v>
      </c>
      <c r="N21" s="16" cm="1">
        <f t="array" ref="N2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3.8089823763501895E-2</v>
      </c>
    </row>
    <row r="22" spans="1:14">
      <c r="A22" s="18">
        <f>rawData_RentPriceIndex_HK!A22</f>
        <v>44440</v>
      </c>
      <c r="B22" s="20">
        <f>rawData_RentPriceIndex_HK!B22</f>
        <v>184.4</v>
      </c>
      <c r="C22" t="s">
        <v>35</v>
      </c>
      <c r="D22" t="s">
        <v>22</v>
      </c>
      <c r="E22" s="8">
        <v>44440</v>
      </c>
      <c r="F22">
        <v>20</v>
      </c>
      <c r="G22">
        <v>183</v>
      </c>
      <c r="H22">
        <v>179</v>
      </c>
      <c r="I22" s="16">
        <f t="shared" si="0"/>
        <v>9.8576122672508846E-3</v>
      </c>
      <c r="J22" s="16">
        <f>(Processed_RentPrice_CN_HK__2[[#This Row],[Value]]-B10)/B10</f>
        <v>3.1319910514541353E-2</v>
      </c>
      <c r="K22" s="7">
        <f>Processed_RentPrice_CN_HK__2[[#This Row],[Value]]/B21 * 100</f>
        <v>100.98576122672509</v>
      </c>
      <c r="L22" s="7">
        <f>Processed_RentPrice_CN_HK__2[[#This Row],[Value]]/B10 * 100</f>
        <v>103.13199105145414</v>
      </c>
      <c r="M22" s="7" cm="1">
        <f t="array" ref="M22">ROUND( Processed_RentPrice_CN_HK__2[[#This Row],[Value]] / AVERAGE( _xlfn._xlws.FILTER(Processed_RentPrice_CN_HK__2[Value], YEAR(Processed_RentPrice_CN_HK__2[Date])=2020) ), 3) * 100</f>
        <v>102.3</v>
      </c>
      <c r="N22" s="16" cm="1">
        <f t="array" ref="N2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4.8322910744741376E-2</v>
      </c>
    </row>
    <row r="23" spans="1:14">
      <c r="A23" s="18">
        <f>rawData_RentPriceIndex_HK!A23</f>
        <v>44470</v>
      </c>
      <c r="B23" s="20">
        <f>rawData_RentPriceIndex_HK!B23</f>
        <v>184.3</v>
      </c>
      <c r="C23" t="s">
        <v>35</v>
      </c>
      <c r="D23" t="s">
        <v>22</v>
      </c>
      <c r="E23" s="8">
        <v>44470</v>
      </c>
      <c r="F23">
        <v>21</v>
      </c>
      <c r="G23">
        <v>184</v>
      </c>
      <c r="H23">
        <v>178</v>
      </c>
      <c r="I23" s="16">
        <f t="shared" si="0"/>
        <v>-5.4229934924075003E-4</v>
      </c>
      <c r="J23" s="16">
        <f>(Processed_RentPrice_CN_HK__2[[#This Row],[Value]]-B11)/B11</f>
        <v>3.4231200897867693E-2</v>
      </c>
      <c r="K23" s="7">
        <f>Processed_RentPrice_CN_HK__2[[#This Row],[Value]]/B22 * 100</f>
        <v>99.945770065075919</v>
      </c>
      <c r="L23" s="7">
        <f>Processed_RentPrice_CN_HK__2[[#This Row],[Value]]/B11 * 100</f>
        <v>103.42312008978678</v>
      </c>
      <c r="M23" s="7" cm="1">
        <f t="array" ref="M23">ROUND( Processed_RentPrice_CN_HK__2[[#This Row],[Value]] / AVERAGE( _xlfn._xlws.FILTER(Processed_RentPrice_CN_HK__2[Value], YEAR(Processed_RentPrice_CN_HK__2[Date])=2020) ), 3) * 100</f>
        <v>102.2</v>
      </c>
      <c r="N23" s="16" cm="1">
        <f t="array" ref="N2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4.7754405912450393E-2</v>
      </c>
    </row>
    <row r="24" spans="1:14">
      <c r="A24" s="18">
        <f>rawData_RentPriceIndex_HK!A24</f>
        <v>44501</v>
      </c>
      <c r="B24" s="20">
        <f>rawData_RentPriceIndex_HK!B24</f>
        <v>182.9</v>
      </c>
      <c r="C24" t="s">
        <v>35</v>
      </c>
      <c r="D24" t="s">
        <v>22</v>
      </c>
      <c r="E24" s="8">
        <v>44501</v>
      </c>
      <c r="F24">
        <v>22</v>
      </c>
      <c r="G24">
        <v>184</v>
      </c>
      <c r="H24">
        <v>178</v>
      </c>
      <c r="I24" s="16">
        <f t="shared" si="0"/>
        <v>-7.5963103635377409E-3</v>
      </c>
      <c r="J24" s="16">
        <f>(Processed_RentPrice_CN_HK__2[[#This Row],[Value]]-B12)/B12</f>
        <v>2.4649859943977621E-2</v>
      </c>
      <c r="K24" s="7">
        <f>Processed_RentPrice_CN_HK__2[[#This Row],[Value]]/B23 * 100</f>
        <v>99.240368963646233</v>
      </c>
      <c r="L24" s="7">
        <f>Processed_RentPrice_CN_HK__2[[#This Row],[Value]]/B12 * 100</f>
        <v>102.46498599439778</v>
      </c>
      <c r="M24" s="7" cm="1">
        <f t="array" ref="M24">ROUND( Processed_RentPrice_CN_HK__2[[#This Row],[Value]] / AVERAGE( _xlfn._xlws.FILTER(Processed_RentPrice_CN_HK__2[Value], YEAR(Processed_RentPrice_CN_HK__2[Date])=2020) ), 3) * 100</f>
        <v>101.4</v>
      </c>
      <c r="N24" s="16" cm="1">
        <f t="array" ref="N2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3.979533826037529E-2</v>
      </c>
    </row>
    <row r="25" spans="1:14">
      <c r="A25" s="18">
        <f>rawData_RentPriceIndex_HK!A25</f>
        <v>44531</v>
      </c>
      <c r="B25" s="20">
        <f>rawData_RentPriceIndex_HK!B25</f>
        <v>182.7</v>
      </c>
      <c r="C25" t="s">
        <v>35</v>
      </c>
      <c r="D25" t="s">
        <v>22</v>
      </c>
      <c r="E25" s="8">
        <v>44531</v>
      </c>
      <c r="F25">
        <v>23</v>
      </c>
      <c r="G25">
        <v>183</v>
      </c>
      <c r="H25">
        <v>177</v>
      </c>
      <c r="I25" s="16">
        <f t="shared" si="0"/>
        <v>-1.0934937124112468E-3</v>
      </c>
      <c r="J25" s="16">
        <f>(Processed_RentPrice_CN_HK__2[[#This Row],[Value]]-B13)/B13</f>
        <v>3.4541336353340855E-2</v>
      </c>
      <c r="K25" s="7">
        <f>Processed_RentPrice_CN_HK__2[[#This Row],[Value]]/B24 * 100</f>
        <v>99.890650628758877</v>
      </c>
      <c r="L25" s="7">
        <f>Processed_RentPrice_CN_HK__2[[#This Row],[Value]]/B13 * 100</f>
        <v>103.45413363533409</v>
      </c>
      <c r="M25" s="7" cm="1">
        <f t="array" ref="M25">ROUND( Processed_RentPrice_CN_HK__2[[#This Row],[Value]] / AVERAGE( _xlfn._xlws.FILTER(Processed_RentPrice_CN_HK__2[Value], YEAR(Processed_RentPrice_CN_HK__2[Date])=2020) ), 3) * 100</f>
        <v>101.29999999999998</v>
      </c>
      <c r="N25" s="16" cm="1">
        <f t="array" ref="N2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3.8658328595792879E-2</v>
      </c>
    </row>
    <row r="26" spans="1:14">
      <c r="A26" s="18">
        <f>rawData_RentPriceIndex_HK!A26</f>
        <v>44562</v>
      </c>
      <c r="B26" s="20">
        <f>rawData_RentPriceIndex_HK!B26</f>
        <v>181.1</v>
      </c>
      <c r="C26" t="s">
        <v>35</v>
      </c>
      <c r="D26" t="s">
        <v>22</v>
      </c>
      <c r="E26" s="8">
        <v>44562</v>
      </c>
      <c r="F26">
        <v>24</v>
      </c>
      <c r="G26">
        <v>183</v>
      </c>
      <c r="H26">
        <v>176</v>
      </c>
      <c r="I26" s="16">
        <f t="shared" si="0"/>
        <v>-8.7575259989052783E-3</v>
      </c>
      <c r="J26" s="16">
        <f>(Processed_RentPrice_CN_HK__2[[#This Row],[Value]]-B14)/B14</f>
        <v>2.9562251279135806E-2</v>
      </c>
      <c r="K26" s="7">
        <f>Processed_RentPrice_CN_HK__2[[#This Row],[Value]]/B25 * 100</f>
        <v>99.124247400109482</v>
      </c>
      <c r="L26" s="7">
        <f>Processed_RentPrice_CN_HK__2[[#This Row],[Value]]/B14 * 100</f>
        <v>102.95622512791358</v>
      </c>
      <c r="M26" s="7" cm="1">
        <f t="array" ref="M26">ROUND( Processed_RentPrice_CN_HK__2[[#This Row],[Value]] / AVERAGE( _xlfn._xlws.FILTER(Processed_RentPrice_CN_HK__2[Value], YEAR(Processed_RentPrice_CN_HK__2[Date])=2020) ), 3) * 100</f>
        <v>100.4</v>
      </c>
      <c r="N26" s="16" cm="1">
        <f t="array" ref="N2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27" spans="1:14">
      <c r="A27" s="18">
        <f>rawData_RentPriceIndex_HK!A27</f>
        <v>44593</v>
      </c>
      <c r="B27" s="20">
        <f>rawData_RentPriceIndex_HK!B27</f>
        <v>180.2</v>
      </c>
      <c r="C27" t="s">
        <v>35</v>
      </c>
      <c r="D27" t="s">
        <v>22</v>
      </c>
      <c r="E27" s="8">
        <v>44593</v>
      </c>
      <c r="F27">
        <v>25</v>
      </c>
      <c r="G27">
        <v>181</v>
      </c>
      <c r="H27">
        <v>174</v>
      </c>
      <c r="I27" s="16">
        <f t="shared" si="0"/>
        <v>-4.9696300386527096E-3</v>
      </c>
      <c r="J27" s="16">
        <f>(Processed_RentPrice_CN_HK__2[[#This Row],[Value]]-B15)/B15</f>
        <v>3.5037334865020073E-2</v>
      </c>
      <c r="K27" s="7">
        <f>Processed_RentPrice_CN_HK__2[[#This Row],[Value]]/B26 * 100</f>
        <v>99.503036996134725</v>
      </c>
      <c r="L27" s="7">
        <f>Processed_RentPrice_CN_HK__2[[#This Row],[Value]]/B15 * 100</f>
        <v>103.50373348650201</v>
      </c>
      <c r="M27" s="7" cm="1">
        <f t="array" ref="M27">ROUND( Processed_RentPrice_CN_HK__2[[#This Row],[Value]] / AVERAGE( _xlfn._xlws.FILTER(Processed_RentPrice_CN_HK__2[Value], YEAR(Processed_RentPrice_CN_HK__2[Date])=2020) ), 3) * 100</f>
        <v>99.9</v>
      </c>
      <c r="N27" s="16" cm="1">
        <f t="array" ref="N2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-4.9696300386526948E-3</v>
      </c>
    </row>
    <row r="28" spans="1:14">
      <c r="A28" s="18">
        <f>rawData_RentPriceIndex_HK!A28</f>
        <v>44621</v>
      </c>
      <c r="B28" s="20">
        <f>rawData_RentPriceIndex_HK!B28</f>
        <v>178.5</v>
      </c>
      <c r="C28" t="s">
        <v>35</v>
      </c>
      <c r="D28" t="s">
        <v>22</v>
      </c>
      <c r="E28" s="8">
        <v>44621</v>
      </c>
      <c r="F28">
        <v>26</v>
      </c>
      <c r="G28">
        <v>180</v>
      </c>
      <c r="H28">
        <v>175</v>
      </c>
      <c r="I28" s="16">
        <f t="shared" si="0"/>
        <v>-9.4339622641508806E-3</v>
      </c>
      <c r="J28" s="16">
        <f>(Processed_RentPrice_CN_HK__2[[#This Row],[Value]]-B16)/B16</f>
        <v>1.8835616438356229E-2</v>
      </c>
      <c r="K28" s="7">
        <f>Processed_RentPrice_CN_HK__2[[#This Row],[Value]]/B27 * 100</f>
        <v>99.056603773584911</v>
      </c>
      <c r="L28" s="7">
        <f>Processed_RentPrice_CN_HK__2[[#This Row],[Value]]/B16 * 100</f>
        <v>101.88356164383563</v>
      </c>
      <c r="M28" s="7" cm="1">
        <f t="array" ref="M28">ROUND( Processed_RentPrice_CN_HK__2[[#This Row],[Value]] / AVERAGE( _xlfn._xlws.FILTER(Processed_RentPrice_CN_HK__2[Value], YEAR(Processed_RentPrice_CN_HK__2[Date])=2020) ), 3) * 100</f>
        <v>99</v>
      </c>
      <c r="N28" s="16" cm="1">
        <f t="array" ref="N2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-1.4356709000552192E-2</v>
      </c>
    </row>
    <row r="29" spans="1:14">
      <c r="A29" s="18">
        <f>rawData_RentPriceIndex_HK!A29</f>
        <v>44652</v>
      </c>
      <c r="B29" s="20">
        <f>rawData_RentPriceIndex_HK!B29</f>
        <v>177.3</v>
      </c>
      <c r="C29" t="s">
        <v>35</v>
      </c>
      <c r="D29" t="s">
        <v>22</v>
      </c>
      <c r="E29" s="8">
        <v>44652</v>
      </c>
      <c r="F29">
        <v>27</v>
      </c>
      <c r="G29">
        <v>178</v>
      </c>
      <c r="H29">
        <v>178</v>
      </c>
      <c r="I29" s="16">
        <f t="shared" si="0"/>
        <v>-6.7226890756301883E-3</v>
      </c>
      <c r="J29" s="16">
        <f>(Processed_RentPrice_CN_HK__2[[#This Row],[Value]]-B17)/B17</f>
        <v>-1.1267605633802176E-3</v>
      </c>
      <c r="K29" s="7">
        <f>Processed_RentPrice_CN_HK__2[[#This Row],[Value]]/B28 * 100</f>
        <v>99.327731092436977</v>
      </c>
      <c r="L29" s="7">
        <f>Processed_RentPrice_CN_HK__2[[#This Row],[Value]]/B17 * 100</f>
        <v>99.887323943661983</v>
      </c>
      <c r="M29" s="7" cm="1">
        <f t="array" ref="M29">ROUND( Processed_RentPrice_CN_HK__2[[#This Row],[Value]] / AVERAGE( _xlfn._xlws.FILTER(Processed_RentPrice_CN_HK__2[Value], YEAR(Processed_RentPrice_CN_HK__2[Date])=2020) ), 3) * 100</f>
        <v>98.3</v>
      </c>
      <c r="N29" s="16" cm="1">
        <f t="array" ref="N2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-2.0982882385422341E-2</v>
      </c>
    </row>
    <row r="30" spans="1:14">
      <c r="A30" s="18">
        <f>rawData_RentPriceIndex_HK!A30</f>
        <v>44682</v>
      </c>
      <c r="B30" s="20">
        <f>rawData_RentPriceIndex_HK!B30</f>
        <v>177.9</v>
      </c>
      <c r="C30" t="s">
        <v>35</v>
      </c>
      <c r="D30" t="s">
        <v>22</v>
      </c>
      <c r="E30" s="8">
        <v>44682</v>
      </c>
      <c r="F30">
        <v>28</v>
      </c>
      <c r="G30">
        <v>177</v>
      </c>
      <c r="H30">
        <v>178</v>
      </c>
      <c r="I30" s="16">
        <f t="shared" si="0"/>
        <v>3.3840947546530981E-3</v>
      </c>
      <c r="J30" s="16">
        <f>(Processed_RentPrice_CN_HK__2[[#This Row],[Value]]-B18)/B18</f>
        <v>-2.2434099831744568E-3</v>
      </c>
      <c r="K30" s="7">
        <f>Processed_RentPrice_CN_HK__2[[#This Row],[Value]]/B29 * 100</f>
        <v>100.33840947546531</v>
      </c>
      <c r="L30" s="7">
        <f>Processed_RentPrice_CN_HK__2[[#This Row],[Value]]/B18 * 100</f>
        <v>99.775659001682556</v>
      </c>
      <c r="M30" s="7" cm="1">
        <f t="array" ref="M30">ROUND( Processed_RentPrice_CN_HK__2[[#This Row],[Value]] / AVERAGE( _xlfn._xlws.FILTER(Processed_RentPrice_CN_HK__2[Value], YEAR(Processed_RentPrice_CN_HK__2[Date])=2020) ), 3) * 100</f>
        <v>98.7</v>
      </c>
      <c r="N30" s="16" cm="1">
        <f t="array" ref="N3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-1.7669795692987211E-2</v>
      </c>
    </row>
    <row r="31" spans="1:14">
      <c r="A31" s="18">
        <f>rawData_RentPriceIndex_HK!A31</f>
        <v>44713</v>
      </c>
      <c r="B31" s="20">
        <f>rawData_RentPriceIndex_HK!B31</f>
        <v>178</v>
      </c>
      <c r="C31" t="s">
        <v>35</v>
      </c>
      <c r="D31" t="s">
        <v>22</v>
      </c>
      <c r="E31" s="8">
        <v>44713</v>
      </c>
      <c r="F31">
        <v>29</v>
      </c>
      <c r="G31">
        <v>178</v>
      </c>
      <c r="H31">
        <v>179</v>
      </c>
      <c r="I31" s="16">
        <f t="shared" si="0"/>
        <v>5.6211354693644919E-4</v>
      </c>
      <c r="J31" s="16">
        <f>(Processed_RentPrice_CN_HK__2[[#This Row],[Value]]-B19)/B19</f>
        <v>-7.2504182933631417E-3</v>
      </c>
      <c r="K31" s="7">
        <f>Processed_RentPrice_CN_HK__2[[#This Row],[Value]]/B30 * 100</f>
        <v>100.05621135469364</v>
      </c>
      <c r="L31" s="7">
        <f>Processed_RentPrice_CN_HK__2[[#This Row],[Value]]/B19 * 100</f>
        <v>99.27495817066368</v>
      </c>
      <c r="M31" s="7" cm="1">
        <f t="array" ref="M31">ROUND( Processed_RentPrice_CN_HK__2[[#This Row],[Value]] / AVERAGE( _xlfn._xlws.FILTER(Processed_RentPrice_CN_HK__2[Value], YEAR(Processed_RentPrice_CN_HK__2[Date])=2020) ), 3) * 100</f>
        <v>98.7</v>
      </c>
      <c r="N31" s="16" cm="1">
        <f t="array" ref="N3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-1.711761457758143E-2</v>
      </c>
    </row>
    <row r="32" spans="1:14">
      <c r="A32" s="18">
        <f>rawData_RentPriceIndex_HK!A32</f>
        <v>44743</v>
      </c>
      <c r="B32" s="20">
        <f>rawData_RentPriceIndex_HK!B32</f>
        <v>178.1</v>
      </c>
      <c r="C32" t="s">
        <v>35</v>
      </c>
      <c r="D32" t="s">
        <v>22</v>
      </c>
      <c r="E32" s="8">
        <v>44743</v>
      </c>
      <c r="F32">
        <v>30</v>
      </c>
      <c r="G32">
        <v>178</v>
      </c>
      <c r="H32">
        <v>180</v>
      </c>
      <c r="I32" s="16">
        <f t="shared" si="0"/>
        <v>5.6179775280895683E-4</v>
      </c>
      <c r="J32" s="16">
        <f>(Processed_RentPrice_CN_HK__2[[#This Row],[Value]]-B20)/B20</f>
        <v>-1.2201885745979017E-2</v>
      </c>
      <c r="K32" s="7">
        <f>Processed_RentPrice_CN_HK__2[[#This Row],[Value]]/B31 * 100</f>
        <v>100.0561797752809</v>
      </c>
      <c r="L32" s="7">
        <f>Processed_RentPrice_CN_HK__2[[#This Row],[Value]]/B20 * 100</f>
        <v>98.779811425402102</v>
      </c>
      <c r="M32" s="7" cm="1">
        <f t="array" ref="M32">ROUND( Processed_RentPrice_CN_HK__2[[#This Row],[Value]] / AVERAGE( _xlfn._xlws.FILTER(Processed_RentPrice_CN_HK__2[Value], YEAR(Processed_RentPrice_CN_HK__2[Date])=2020) ), 3) * 100</f>
        <v>98.8</v>
      </c>
      <c r="N32" s="16" cm="1">
        <f t="array" ref="N3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-1.6565433462175649E-2</v>
      </c>
    </row>
    <row r="33" spans="1:14">
      <c r="A33" s="18">
        <f>rawData_RentPriceIndex_HK!A33</f>
        <v>44774</v>
      </c>
      <c r="B33" s="20">
        <f>rawData_RentPriceIndex_HK!B33</f>
        <v>179.4</v>
      </c>
      <c r="C33" t="s">
        <v>35</v>
      </c>
      <c r="D33" t="s">
        <v>22</v>
      </c>
      <c r="E33" s="8">
        <v>44774</v>
      </c>
      <c r="F33">
        <v>31</v>
      </c>
      <c r="G33">
        <v>178</v>
      </c>
      <c r="H33">
        <v>183</v>
      </c>
      <c r="I33" s="16">
        <f t="shared" si="0"/>
        <v>7.2992700729927647E-3</v>
      </c>
      <c r="J33" s="16">
        <f>(Processed_RentPrice_CN_HK__2[[#This Row],[Value]]-B21)/B21</f>
        <v>-1.7524644030668064E-2</v>
      </c>
      <c r="K33" s="7">
        <f>Processed_RentPrice_CN_HK__2[[#This Row],[Value]]/B32 * 100</f>
        <v>100.72992700729928</v>
      </c>
      <c r="L33" s="7">
        <f>Processed_RentPrice_CN_HK__2[[#This Row],[Value]]/B21 * 100</f>
        <v>98.24753559693319</v>
      </c>
      <c r="M33" s="7" cm="1">
        <f t="array" ref="M33">ROUND( Processed_RentPrice_CN_HK__2[[#This Row],[Value]] / AVERAGE( _xlfn._xlws.FILTER(Processed_RentPrice_CN_HK__2[Value], YEAR(Processed_RentPrice_CN_HK__2[Date])=2020) ), 3) * 100</f>
        <v>99.5</v>
      </c>
      <c r="N33" s="16" cm="1">
        <f t="array" ref="N3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-9.3870789618993866E-3</v>
      </c>
    </row>
    <row r="34" spans="1:14">
      <c r="A34" s="18">
        <f>rawData_RentPriceIndex_HK!A34</f>
        <v>44805</v>
      </c>
      <c r="B34" s="20">
        <f>rawData_RentPriceIndex_HK!B34</f>
        <v>179</v>
      </c>
      <c r="C34" t="s">
        <v>35</v>
      </c>
      <c r="D34" t="s">
        <v>22</v>
      </c>
      <c r="E34" s="8">
        <v>44805</v>
      </c>
      <c r="F34">
        <v>32</v>
      </c>
      <c r="G34">
        <v>179</v>
      </c>
      <c r="H34">
        <v>184</v>
      </c>
      <c r="I34" s="16">
        <f t="shared" si="0"/>
        <v>-2.2296544035674787E-3</v>
      </c>
      <c r="J34" s="16">
        <f>(Processed_RentPrice_CN_HK__2[[#This Row],[Value]]-B22)/B22</f>
        <v>-2.9284164859002201E-2</v>
      </c>
      <c r="K34" s="7">
        <f>Processed_RentPrice_CN_HK__2[[#This Row],[Value]]/B33 * 100</f>
        <v>99.777034559643255</v>
      </c>
      <c r="L34" s="7">
        <f>Processed_RentPrice_CN_HK__2[[#This Row],[Value]]/B22 * 100</f>
        <v>97.071583514099785</v>
      </c>
      <c r="M34" s="7" cm="1">
        <f t="array" ref="M34">ROUND( Processed_RentPrice_CN_HK__2[[#This Row],[Value]] / AVERAGE( _xlfn._xlws.FILTER(Processed_RentPrice_CN_HK__2[Value], YEAR(Processed_RentPrice_CN_HK__2[Date])=2020) ), 3) * 100</f>
        <v>99.3</v>
      </c>
      <c r="N34" s="16" cm="1">
        <f t="array" ref="N3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-1.1595803423522844E-2</v>
      </c>
    </row>
    <row r="35" spans="1:14">
      <c r="A35" s="18">
        <f>rawData_RentPriceIndex_HK!A35</f>
        <v>44835</v>
      </c>
      <c r="B35" s="20">
        <f>rawData_RentPriceIndex_HK!B35</f>
        <v>178</v>
      </c>
      <c r="C35" t="s">
        <v>35</v>
      </c>
      <c r="D35" t="s">
        <v>22</v>
      </c>
      <c r="E35" s="8">
        <v>44835</v>
      </c>
      <c r="F35">
        <v>33</v>
      </c>
      <c r="G35">
        <v>179</v>
      </c>
      <c r="H35">
        <v>184</v>
      </c>
      <c r="I35" s="16">
        <f t="shared" si="0"/>
        <v>-5.5865921787709499E-3</v>
      </c>
      <c r="J35" s="16">
        <f>(Processed_RentPrice_CN_HK__2[[#This Row],[Value]]-B23)/B23</f>
        <v>-3.4183396635919759E-2</v>
      </c>
      <c r="K35" s="7">
        <f>Processed_RentPrice_CN_HK__2[[#This Row],[Value]]/B34 * 100</f>
        <v>99.441340782122893</v>
      </c>
      <c r="L35" s="7">
        <f>Processed_RentPrice_CN_HK__2[[#This Row],[Value]]/B23 * 100</f>
        <v>96.581660336408021</v>
      </c>
      <c r="M35" s="7" cm="1">
        <f t="array" ref="M35">ROUND( Processed_RentPrice_CN_HK__2[[#This Row],[Value]] / AVERAGE( _xlfn._xlws.FILTER(Processed_RentPrice_CN_HK__2[Value], YEAR(Processed_RentPrice_CN_HK__2[Date])=2020) ), 3) * 100</f>
        <v>98.7</v>
      </c>
      <c r="N35" s="16" cm="1">
        <f t="array" ref="N3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-1.711761457758143E-2</v>
      </c>
    </row>
    <row r="36" spans="1:14">
      <c r="A36" s="18">
        <f>rawData_RentPriceIndex_HK!A36</f>
        <v>44866</v>
      </c>
      <c r="B36" s="20">
        <f>rawData_RentPriceIndex_HK!B36</f>
        <v>176.4</v>
      </c>
      <c r="C36" t="s">
        <v>35</v>
      </c>
      <c r="D36" t="s">
        <v>22</v>
      </c>
      <c r="E36" s="8">
        <v>44866</v>
      </c>
      <c r="F36">
        <v>34</v>
      </c>
      <c r="G36">
        <v>178</v>
      </c>
      <c r="H36">
        <v>183</v>
      </c>
      <c r="I36" s="16">
        <f t="shared" si="0"/>
        <v>-8.9887640449437881E-3</v>
      </c>
      <c r="J36" s="16">
        <f>(Processed_RentPrice_CN_HK__2[[#This Row],[Value]]-B24)/B24</f>
        <v>-3.5538545653362494E-2</v>
      </c>
      <c r="K36" s="7">
        <f>Processed_RentPrice_CN_HK__2[[#This Row],[Value]]/B35 * 100</f>
        <v>99.101123595505626</v>
      </c>
      <c r="L36" s="7">
        <f>Processed_RentPrice_CN_HK__2[[#This Row],[Value]]/B24 * 100</f>
        <v>96.446145434663748</v>
      </c>
      <c r="M36" s="7" cm="1">
        <f t="array" ref="M36">ROUND( Processed_RentPrice_CN_HK__2[[#This Row],[Value]] / AVERAGE( _xlfn._xlws.FILTER(Processed_RentPrice_CN_HK__2[Value], YEAR(Processed_RentPrice_CN_HK__2[Date])=2020) ), 3) * 100</f>
        <v>97.8</v>
      </c>
      <c r="N36" s="16" cm="1">
        <f t="array" ref="N3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-2.5952512424075036E-2</v>
      </c>
    </row>
    <row r="37" spans="1:14">
      <c r="A37" s="18">
        <f>rawData_RentPriceIndex_HK!A37</f>
        <v>44896</v>
      </c>
      <c r="B37" s="20">
        <f>rawData_RentPriceIndex_HK!B37</f>
        <v>175.5</v>
      </c>
      <c r="C37" t="s">
        <v>35</v>
      </c>
      <c r="D37" t="s">
        <v>22</v>
      </c>
      <c r="E37" s="8">
        <v>44896</v>
      </c>
      <c r="F37">
        <v>35</v>
      </c>
      <c r="G37">
        <v>176</v>
      </c>
      <c r="H37">
        <v>183</v>
      </c>
      <c r="I37" s="16">
        <f t="shared" si="0"/>
        <v>-5.1020408163265623E-3</v>
      </c>
      <c r="J37" s="16">
        <f>(Processed_RentPrice_CN_HK__2[[#This Row],[Value]]-B25)/B25</f>
        <v>-3.940886699507383E-2</v>
      </c>
      <c r="K37" s="7">
        <f>Processed_RentPrice_CN_HK__2[[#This Row],[Value]]/B36 * 100</f>
        <v>99.489795918367335</v>
      </c>
      <c r="L37" s="7">
        <f>Processed_RentPrice_CN_HK__2[[#This Row],[Value]]/B25 * 100</f>
        <v>96.059113300492612</v>
      </c>
      <c r="M37" s="7" cm="1">
        <f t="array" ref="M37">ROUND( Processed_RentPrice_CN_HK__2[[#This Row],[Value]] / AVERAGE( _xlfn._xlws.FILTER(Processed_RentPrice_CN_HK__2[Value], YEAR(Processed_RentPrice_CN_HK__2[Date])=2020) ), 3) * 100</f>
        <v>97.3</v>
      </c>
      <c r="N37" s="16" cm="1">
        <f t="array" ref="N3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-3.0922142462727731E-2</v>
      </c>
    </row>
    <row r="38" spans="1:14">
      <c r="A38" s="18">
        <f>rawData_RentPriceIndex_HK!A38</f>
        <v>44927</v>
      </c>
      <c r="B38" s="20">
        <f>rawData_RentPriceIndex_HK!B38</f>
        <v>173.6</v>
      </c>
      <c r="C38" t="s">
        <v>35</v>
      </c>
      <c r="D38" t="s">
        <v>22</v>
      </c>
      <c r="E38" s="8">
        <v>44927</v>
      </c>
      <c r="F38">
        <v>36</v>
      </c>
      <c r="G38">
        <v>176</v>
      </c>
      <c r="H38">
        <v>181</v>
      </c>
      <c r="I38" s="16">
        <f t="shared" si="0"/>
        <v>-1.0826210826210859E-2</v>
      </c>
      <c r="J38" s="16">
        <f>(Processed_RentPrice_CN_HK__2[[#This Row],[Value]]-B26)/B26</f>
        <v>-4.1413583655438985E-2</v>
      </c>
      <c r="K38" s="7">
        <f>Processed_RentPrice_CN_HK__2[[#This Row],[Value]]/B37 * 100</f>
        <v>98.917378917378912</v>
      </c>
      <c r="L38" s="7">
        <f>Processed_RentPrice_CN_HK__2[[#This Row],[Value]]/B26 * 100</f>
        <v>95.858641634456092</v>
      </c>
      <c r="M38" s="7" cm="1">
        <f t="array" ref="M38">ROUND( Processed_RentPrice_CN_HK__2[[#This Row],[Value]] / AVERAGE( _xlfn._xlws.FILTER(Processed_RentPrice_CN_HK__2[Value], YEAR(Processed_RentPrice_CN_HK__2[Date])=2020) ), 3) * 100</f>
        <v>96.3</v>
      </c>
      <c r="N38" s="16" cm="1">
        <f t="array" ref="N3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39" spans="1:14">
      <c r="A39" s="18">
        <f>rawData_RentPriceIndex_HK!A39</f>
        <v>44958</v>
      </c>
      <c r="B39" s="20">
        <f>rawData_RentPriceIndex_HK!B39</f>
        <v>175.1</v>
      </c>
      <c r="C39" t="s">
        <v>35</v>
      </c>
      <c r="D39" t="s">
        <v>22</v>
      </c>
      <c r="E39" s="8">
        <v>44958</v>
      </c>
      <c r="F39">
        <v>37</v>
      </c>
      <c r="G39">
        <v>174</v>
      </c>
      <c r="H39">
        <v>180</v>
      </c>
      <c r="I39" s="16">
        <f t="shared" si="0"/>
        <v>8.6405529953917058E-3</v>
      </c>
      <c r="J39" s="16">
        <f>(Processed_RentPrice_CN_HK__2[[#This Row],[Value]]-B27)/B27</f>
        <v>-2.83018867924528E-2</v>
      </c>
      <c r="K39" s="7">
        <f>Processed_RentPrice_CN_HK__2[[#This Row],[Value]]/B38 * 100</f>
        <v>100.86405529953917</v>
      </c>
      <c r="L39" s="7">
        <f>Processed_RentPrice_CN_HK__2[[#This Row],[Value]]/B27 * 100</f>
        <v>97.169811320754718</v>
      </c>
      <c r="M39" s="7" cm="1">
        <f t="array" ref="M39">ROUND( Processed_RentPrice_CN_HK__2[[#This Row],[Value]] / AVERAGE( _xlfn._xlws.FILTER(Processed_RentPrice_CN_HK__2[Value], YEAR(Processed_RentPrice_CN_HK__2[Date])=2020) ), 3) * 100</f>
        <v>97.1</v>
      </c>
      <c r="N39" s="16" cm="1">
        <f t="array" ref="N3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8.6405529953916815E-3</v>
      </c>
    </row>
    <row r="40" spans="1:14">
      <c r="A40" s="18">
        <f>rawData_RentPriceIndex_HK!A40</f>
        <v>44986</v>
      </c>
      <c r="B40" s="20">
        <f>rawData_RentPriceIndex_HK!B40</f>
        <v>176.2</v>
      </c>
      <c r="C40" t="s">
        <v>35</v>
      </c>
      <c r="D40" t="s">
        <v>22</v>
      </c>
      <c r="E40" s="8">
        <v>44986</v>
      </c>
      <c r="F40">
        <v>38</v>
      </c>
      <c r="G40">
        <v>175</v>
      </c>
      <c r="H40">
        <v>178</v>
      </c>
      <c r="I40" s="16">
        <f t="shared" si="0"/>
        <v>6.2821245002855188E-3</v>
      </c>
      <c r="J40" s="16">
        <f>(Processed_RentPrice_CN_HK__2[[#This Row],[Value]]-B28)/B28</f>
        <v>-1.2885154061624713E-2</v>
      </c>
      <c r="K40" s="7">
        <f>Processed_RentPrice_CN_HK__2[[#This Row],[Value]]/B39 * 100</f>
        <v>100.62821245002856</v>
      </c>
      <c r="L40" s="7">
        <f>Processed_RentPrice_CN_HK__2[[#This Row],[Value]]/B28 * 100</f>
        <v>98.711484593837525</v>
      </c>
      <c r="M40" s="7" cm="1">
        <f t="array" ref="M40">ROUND( Processed_RentPrice_CN_HK__2[[#This Row],[Value]] / AVERAGE( _xlfn._xlws.FILTER(Processed_RentPrice_CN_HK__2[Value], YEAR(Processed_RentPrice_CN_HK__2[Date])=2020) ), 3) * 100</f>
        <v>97.7</v>
      </c>
      <c r="N40" s="16" cm="1">
        <f t="array" ref="N4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1.4976958525345641E-2</v>
      </c>
    </row>
    <row r="41" spans="1:14">
      <c r="A41" s="18">
        <f>rawData_RentPriceIndex_HK!A41</f>
        <v>45017</v>
      </c>
      <c r="B41" s="20">
        <f>rawData_RentPriceIndex_HK!B41</f>
        <v>178.7</v>
      </c>
      <c r="C41" t="s">
        <v>35</v>
      </c>
      <c r="D41" t="s">
        <v>22</v>
      </c>
      <c r="E41" s="8">
        <v>45017</v>
      </c>
      <c r="F41">
        <v>39</v>
      </c>
      <c r="G41">
        <v>176</v>
      </c>
      <c r="H41">
        <v>177</v>
      </c>
      <c r="I41" s="16">
        <f t="shared" si="0"/>
        <v>1.4188422247446085E-2</v>
      </c>
      <c r="J41" s="16">
        <f>(Processed_RentPrice_CN_HK__2[[#This Row],[Value]]-B29)/B29</f>
        <v>7.896221094190508E-3</v>
      </c>
      <c r="K41" s="7">
        <f>Processed_RentPrice_CN_HK__2[[#This Row],[Value]]/B40 * 100</f>
        <v>101.41884222474459</v>
      </c>
      <c r="L41" s="7">
        <f>Processed_RentPrice_CN_HK__2[[#This Row],[Value]]/B29 * 100</f>
        <v>100.78962210941904</v>
      </c>
      <c r="M41" s="7" cm="1">
        <f t="array" ref="M41">ROUND( Processed_RentPrice_CN_HK__2[[#This Row],[Value]] / AVERAGE( _xlfn._xlws.FILTER(Processed_RentPrice_CN_HK__2[Value], YEAR(Processed_RentPrice_CN_HK__2[Date])=2020) ), 3) * 100</f>
        <v>99.1</v>
      </c>
      <c r="N41" s="16" cm="1">
        <f t="array" ref="N4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2.937788018433185E-2</v>
      </c>
    </row>
    <row r="42" spans="1:14">
      <c r="A42" s="18">
        <f>rawData_RentPriceIndex_HK!A42</f>
        <v>45047</v>
      </c>
      <c r="B42" s="20">
        <f>rawData_RentPriceIndex_HK!B42</f>
        <v>179.9</v>
      </c>
      <c r="C42" t="s">
        <v>35</v>
      </c>
      <c r="D42" t="s">
        <v>22</v>
      </c>
      <c r="E42" s="8">
        <v>45047</v>
      </c>
      <c r="F42">
        <v>40</v>
      </c>
      <c r="G42">
        <v>179</v>
      </c>
      <c r="H42">
        <v>178</v>
      </c>
      <c r="I42" s="16">
        <f t="shared" si="0"/>
        <v>6.7151650811416736E-3</v>
      </c>
      <c r="J42" s="16">
        <f>(Processed_RentPrice_CN_HK__2[[#This Row],[Value]]-B30)/B30</f>
        <v>1.1242270938729622E-2</v>
      </c>
      <c r="K42" s="7">
        <f>Processed_RentPrice_CN_HK__2[[#This Row],[Value]]/B41 * 100</f>
        <v>100.67151650811417</v>
      </c>
      <c r="L42" s="7">
        <f>Processed_RentPrice_CN_HK__2[[#This Row],[Value]]/B30 * 100</f>
        <v>101.12422709387296</v>
      </c>
      <c r="M42" s="7" cm="1">
        <f t="array" ref="M42">ROUND( Processed_RentPrice_CN_HK__2[[#This Row],[Value]] / AVERAGE( _xlfn._xlws.FILTER(Processed_RentPrice_CN_HK__2[Value], YEAR(Processed_RentPrice_CN_HK__2[Date])=2020) ), 3) * 100</f>
        <v>99.8</v>
      </c>
      <c r="N42" s="16" cm="1">
        <f t="array" ref="N4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3.629032258064524E-2</v>
      </c>
    </row>
    <row r="43" spans="1:14">
      <c r="A43" s="18">
        <f>rawData_RentPriceIndex_HK!A43</f>
        <v>45078</v>
      </c>
      <c r="B43" s="20">
        <f>rawData_RentPriceIndex_HK!B43</f>
        <v>180.9</v>
      </c>
      <c r="C43" t="s">
        <v>35</v>
      </c>
      <c r="D43" t="s">
        <v>22</v>
      </c>
      <c r="E43" s="8">
        <v>45078</v>
      </c>
      <c r="F43">
        <v>41</v>
      </c>
      <c r="G43">
        <v>180</v>
      </c>
      <c r="H43">
        <v>178</v>
      </c>
      <c r="I43" s="16">
        <f t="shared" si="0"/>
        <v>5.558643690939411E-3</v>
      </c>
      <c r="J43" s="16">
        <f>(Processed_RentPrice_CN_HK__2[[#This Row],[Value]]-B31)/B31</f>
        <v>1.6292134831460706E-2</v>
      </c>
      <c r="K43" s="7">
        <f>Processed_RentPrice_CN_HK__2[[#This Row],[Value]]/B42 * 100</f>
        <v>100.55586436909394</v>
      </c>
      <c r="L43" s="7">
        <f>Processed_RentPrice_CN_HK__2[[#This Row],[Value]]/B31 * 100</f>
        <v>101.62921348314606</v>
      </c>
      <c r="M43" s="7" cm="1">
        <f t="array" ref="M43">ROUND( Processed_RentPrice_CN_HK__2[[#This Row],[Value]] / AVERAGE( _xlfn._xlws.FILTER(Processed_RentPrice_CN_HK__2[Value], YEAR(Processed_RentPrice_CN_HK__2[Date])=2020) ), 3) * 100</f>
        <v>100.29999999999998</v>
      </c>
      <c r="N43" s="16" cm="1">
        <f t="array" ref="N4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4.2050691244239768E-2</v>
      </c>
    </row>
    <row r="44" spans="1:14">
      <c r="A44" s="18">
        <f>rawData_RentPriceIndex_HK!A44</f>
        <v>45108</v>
      </c>
      <c r="B44" s="20">
        <f>rawData_RentPriceIndex_HK!B44</f>
        <v>182</v>
      </c>
      <c r="C44" t="s">
        <v>35</v>
      </c>
      <c r="D44" t="s">
        <v>22</v>
      </c>
      <c r="E44" s="8">
        <v>45108</v>
      </c>
      <c r="F44">
        <v>42</v>
      </c>
      <c r="G44">
        <v>181</v>
      </c>
      <c r="H44">
        <v>178</v>
      </c>
      <c r="I44" s="16">
        <f t="shared" si="0"/>
        <v>6.0807075732448547E-3</v>
      </c>
      <c r="J44" s="16">
        <f>(Processed_RentPrice_CN_HK__2[[#This Row],[Value]]-B32)/B32</f>
        <v>2.1897810218978134E-2</v>
      </c>
      <c r="K44" s="7">
        <f>Processed_RentPrice_CN_HK__2[[#This Row],[Value]]/B43 * 100</f>
        <v>100.60807075732447</v>
      </c>
      <c r="L44" s="7">
        <f>Processed_RentPrice_CN_HK__2[[#This Row],[Value]]/B32 * 100</f>
        <v>102.18978102189782</v>
      </c>
      <c r="M44" s="7" cm="1">
        <f t="array" ref="M44">ROUND( Processed_RentPrice_CN_HK__2[[#This Row],[Value]] / AVERAGE( _xlfn._xlws.FILTER(Processed_RentPrice_CN_HK__2[Value], YEAR(Processed_RentPrice_CN_HK__2[Date])=2020) ), 3) * 100</f>
        <v>100.89999999999999</v>
      </c>
      <c r="N44" s="16" cm="1">
        <f t="array" ref="N4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4.8387096774193505E-2</v>
      </c>
    </row>
    <row r="45" spans="1:14">
      <c r="A45" s="18">
        <f>rawData_RentPriceIndex_HK!A45</f>
        <v>45139</v>
      </c>
      <c r="B45" s="20">
        <f>rawData_RentPriceIndex_HK!B45</f>
        <v>184.9</v>
      </c>
      <c r="C45" t="s">
        <v>35</v>
      </c>
      <c r="D45" t="s">
        <v>22</v>
      </c>
      <c r="E45" s="8">
        <v>45139</v>
      </c>
      <c r="F45">
        <v>43</v>
      </c>
      <c r="G45">
        <v>182</v>
      </c>
      <c r="H45">
        <v>179</v>
      </c>
      <c r="I45" s="16">
        <f t="shared" si="0"/>
        <v>1.5934065934065964E-2</v>
      </c>
      <c r="J45" s="16">
        <f>(Processed_RentPrice_CN_HK__2[[#This Row],[Value]]-B33)/B33</f>
        <v>3.0657748049052396E-2</v>
      </c>
      <c r="K45" s="7">
        <f>Processed_RentPrice_CN_HK__2[[#This Row],[Value]]/B44 * 100</f>
        <v>101.59340659340658</v>
      </c>
      <c r="L45" s="7">
        <f>Processed_RentPrice_CN_HK__2[[#This Row],[Value]]/B33 * 100</f>
        <v>103.06577480490525</v>
      </c>
      <c r="M45" s="7" cm="1">
        <f t="array" ref="M45">ROUND( Processed_RentPrice_CN_HK__2[[#This Row],[Value]] / AVERAGE( _xlfn._xlws.FILTER(Processed_RentPrice_CN_HK__2[Value], YEAR(Processed_RentPrice_CN_HK__2[Date])=2020) ), 3) * 100</f>
        <v>102.49999999999999</v>
      </c>
      <c r="N45" s="16" cm="1">
        <f t="array" ref="N4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6.509216589861766E-2</v>
      </c>
    </row>
    <row r="46" spans="1:14">
      <c r="A46" s="18">
        <f>rawData_RentPriceIndex_HK!A46</f>
        <v>45170</v>
      </c>
      <c r="B46" s="20">
        <f>rawData_RentPriceIndex_HK!B46</f>
        <v>185.2</v>
      </c>
      <c r="C46" t="s">
        <v>35</v>
      </c>
      <c r="D46" t="s">
        <v>22</v>
      </c>
      <c r="E46" s="8">
        <v>45170</v>
      </c>
      <c r="F46">
        <v>44</v>
      </c>
      <c r="G46">
        <v>185</v>
      </c>
      <c r="H46">
        <v>179</v>
      </c>
      <c r="I46" s="16">
        <f t="shared" si="0"/>
        <v>1.622498647917701E-3</v>
      </c>
      <c r="J46" s="16">
        <f>(Processed_RentPrice_CN_HK__2[[#This Row],[Value]]-B34)/B34</f>
        <v>3.4636871508379824E-2</v>
      </c>
      <c r="K46" s="7">
        <f>Processed_RentPrice_CN_HK__2[[#This Row],[Value]]/B45 * 100</f>
        <v>100.16224986479176</v>
      </c>
      <c r="L46" s="7">
        <f>Processed_RentPrice_CN_HK__2[[#This Row],[Value]]/B34 * 100</f>
        <v>103.46368715083798</v>
      </c>
      <c r="M46" s="7" cm="1">
        <f t="array" ref="M46">ROUND( Processed_RentPrice_CN_HK__2[[#This Row],[Value]] / AVERAGE( _xlfn._xlws.FILTER(Processed_RentPrice_CN_HK__2[Value], YEAR(Processed_RentPrice_CN_HK__2[Date])=2020) ), 3) * 100</f>
        <v>102.69999999999999</v>
      </c>
      <c r="N46" s="16" cm="1">
        <f t="array" ref="N4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6.682027649769573E-2</v>
      </c>
    </row>
    <row r="47" spans="1:14">
      <c r="A47" s="18">
        <f>rawData_RentPriceIndex_HK!A47</f>
        <v>45200</v>
      </c>
      <c r="B47" s="20">
        <f>rawData_RentPriceIndex_HK!B47</f>
        <v>185.4</v>
      </c>
      <c r="C47" t="s">
        <v>35</v>
      </c>
      <c r="D47" t="s">
        <v>22</v>
      </c>
      <c r="E47" s="8">
        <v>45200</v>
      </c>
      <c r="F47">
        <v>45</v>
      </c>
      <c r="G47">
        <v>185</v>
      </c>
      <c r="H47">
        <v>178</v>
      </c>
      <c r="I47" s="16">
        <f t="shared" si="0"/>
        <v>1.0799136069115393E-3</v>
      </c>
      <c r="J47" s="16">
        <f>(Processed_RentPrice_CN_HK__2[[#This Row],[Value]]-B35)/B35</f>
        <v>4.1573033707865199E-2</v>
      </c>
      <c r="K47" s="7">
        <f>Processed_RentPrice_CN_HK__2[[#This Row],[Value]]/B46 * 100</f>
        <v>100.10799136069114</v>
      </c>
      <c r="L47" s="7">
        <f>Processed_RentPrice_CN_HK__2[[#This Row],[Value]]/B35 * 100</f>
        <v>104.15730337078652</v>
      </c>
      <c r="M47" s="7" cm="1">
        <f t="array" ref="M47">ROUND( Processed_RentPrice_CN_HK__2[[#This Row],[Value]] / AVERAGE( _xlfn._xlws.FILTER(Processed_RentPrice_CN_HK__2[Value], YEAR(Processed_RentPrice_CN_HK__2[Date])=2020) ), 3) * 100</f>
        <v>102.8</v>
      </c>
      <c r="N47" s="16" cm="1">
        <f t="array" ref="N4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6.7972350230414813E-2</v>
      </c>
    </row>
    <row r="48" spans="1:14">
      <c r="A48" s="18">
        <f>rawData_RentPriceIndex_HK!A48</f>
        <v>45231</v>
      </c>
      <c r="B48" s="20">
        <f>rawData_RentPriceIndex_HK!B48</f>
        <v>185.5</v>
      </c>
      <c r="C48" t="s">
        <v>35</v>
      </c>
      <c r="D48" t="s">
        <v>22</v>
      </c>
      <c r="E48" s="8">
        <v>45231</v>
      </c>
      <c r="F48">
        <v>46</v>
      </c>
      <c r="G48">
        <v>185</v>
      </c>
      <c r="H48">
        <v>176</v>
      </c>
      <c r="I48" s="16">
        <f t="shared" si="0"/>
        <v>5.3937432578206204E-4</v>
      </c>
      <c r="J48" s="16">
        <f>(Processed_RentPrice_CN_HK__2[[#This Row],[Value]]-B36)/B36</f>
        <v>5.1587301587301557E-2</v>
      </c>
      <c r="K48" s="7">
        <f>Processed_RentPrice_CN_HK__2[[#This Row],[Value]]/B47 * 100</f>
        <v>100.05393743257819</v>
      </c>
      <c r="L48" s="7">
        <f>Processed_RentPrice_CN_HK__2[[#This Row],[Value]]/B36 * 100</f>
        <v>105.15873015873017</v>
      </c>
      <c r="M48" s="7" cm="1">
        <f t="array" ref="M48">ROUND( Processed_RentPrice_CN_HK__2[[#This Row],[Value]] / AVERAGE( _xlfn._xlws.FILTER(Processed_RentPrice_CN_HK__2[Value], YEAR(Processed_RentPrice_CN_HK__2[Date])=2020) ), 3) * 100</f>
        <v>102.89999999999999</v>
      </c>
      <c r="N48" s="16" cm="1">
        <f t="array" ref="N4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6.8548387096774244E-2</v>
      </c>
    </row>
    <row r="49" spans="1:14">
      <c r="A49" s="18">
        <f>rawData_RentPriceIndex_HK!A49</f>
        <v>45261</v>
      </c>
      <c r="B49" s="20">
        <f>rawData_RentPriceIndex_HK!B49</f>
        <v>186</v>
      </c>
      <c r="C49" t="s">
        <v>35</v>
      </c>
      <c r="D49" t="s">
        <v>22</v>
      </c>
      <c r="E49" s="8">
        <v>45261</v>
      </c>
      <c r="F49">
        <v>47</v>
      </c>
      <c r="G49">
        <v>186</v>
      </c>
      <c r="H49">
        <v>176</v>
      </c>
      <c r="I49" s="16">
        <f t="shared" si="0"/>
        <v>2.6954177897574125E-3</v>
      </c>
      <c r="J49" s="16">
        <f>(Processed_RentPrice_CN_HK__2[[#This Row],[Value]]-B37)/B37</f>
        <v>5.9829059829059832E-2</v>
      </c>
      <c r="K49" s="7">
        <f>Processed_RentPrice_CN_HK__2[[#This Row],[Value]]/B48 * 100</f>
        <v>100.26954177897574</v>
      </c>
      <c r="L49" s="7">
        <f>Processed_RentPrice_CN_HK__2[[#This Row],[Value]]/B37 * 100</f>
        <v>105.98290598290599</v>
      </c>
      <c r="M49" s="7" cm="1">
        <f t="array" ref="M49">ROUND( Processed_RentPrice_CN_HK__2[[#This Row],[Value]] / AVERAGE( _xlfn._xlws.FILTER(Processed_RentPrice_CN_HK__2[Value], YEAR(Processed_RentPrice_CN_HK__2[Date])=2020) ), 3) * 100</f>
        <v>103.2</v>
      </c>
      <c r="N49" s="16" cm="1">
        <f t="array" ref="N4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7.1428571428571397E-2</v>
      </c>
    </row>
    <row r="50" spans="1:14">
      <c r="A50" s="18">
        <f>rawData_RentPriceIndex_HK!A50</f>
        <v>45292</v>
      </c>
      <c r="B50" s="20">
        <f>rawData_RentPriceIndex_HK!B50</f>
        <v>185.5</v>
      </c>
      <c r="C50" t="s">
        <v>35</v>
      </c>
      <c r="D50" t="s">
        <v>22</v>
      </c>
      <c r="E50" s="8">
        <v>45292</v>
      </c>
      <c r="F50">
        <v>48</v>
      </c>
      <c r="G50">
        <v>186</v>
      </c>
      <c r="H50">
        <v>174</v>
      </c>
      <c r="I50" s="16">
        <f t="shared" si="0"/>
        <v>-2.6881720430107529E-3</v>
      </c>
      <c r="J50" s="16">
        <f>(Processed_RentPrice_CN_HK__2[[#This Row],[Value]]-B38)/B38</f>
        <v>6.854838709677423E-2</v>
      </c>
      <c r="K50" s="7">
        <f>Processed_RentPrice_CN_HK__2[[#This Row],[Value]]/B49 * 100</f>
        <v>99.731182795698928</v>
      </c>
      <c r="L50" s="7">
        <f>Processed_RentPrice_CN_HK__2[[#This Row],[Value]]/B38 * 100</f>
        <v>106.85483870967742</v>
      </c>
      <c r="M50" s="7" cm="1">
        <f t="array" ref="M50">ROUND( Processed_RentPrice_CN_HK__2[[#This Row],[Value]] / AVERAGE( _xlfn._xlws.FILTER(Processed_RentPrice_CN_HK__2[Value], YEAR(Processed_RentPrice_CN_HK__2[Date])=2020) ), 3) * 100</f>
        <v>102.89999999999999</v>
      </c>
      <c r="N50" s="16" cm="1">
        <f t="array" ref="N5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51" spans="1:14">
      <c r="A51" s="18">
        <f>rawData_RentPriceIndex_HK!A51</f>
        <v>45323</v>
      </c>
      <c r="B51" s="20">
        <f>rawData_RentPriceIndex_HK!B51</f>
        <v>184.4</v>
      </c>
      <c r="C51" t="s">
        <v>35</v>
      </c>
      <c r="D51" t="s">
        <v>22</v>
      </c>
      <c r="E51" s="8">
        <v>45323</v>
      </c>
      <c r="F51">
        <v>49</v>
      </c>
      <c r="G51">
        <v>186</v>
      </c>
      <c r="H51">
        <v>175</v>
      </c>
      <c r="I51" s="16">
        <f t="shared" si="0"/>
        <v>-5.9299191374662767E-3</v>
      </c>
      <c r="J51" s="16">
        <f>(Processed_RentPrice_CN_HK__2[[#This Row],[Value]]-B39)/B39</f>
        <v>5.3112507138777909E-2</v>
      </c>
      <c r="K51" s="7">
        <f>Processed_RentPrice_CN_HK__2[[#This Row],[Value]]/B50 * 100</f>
        <v>99.40700808625337</v>
      </c>
      <c r="L51" s="7">
        <f>Processed_RentPrice_CN_HK__2[[#This Row],[Value]]/B39 * 100</f>
        <v>105.3112507138778</v>
      </c>
      <c r="M51" s="7" cm="1">
        <f t="array" ref="M51">ROUND( Processed_RentPrice_CN_HK__2[[#This Row],[Value]] / AVERAGE( _xlfn._xlws.FILTER(Processed_RentPrice_CN_HK__2[Value], YEAR(Processed_RentPrice_CN_HK__2[Date])=2020) ), 3) * 100</f>
        <v>102.3</v>
      </c>
      <c r="N51" s="16" cm="1">
        <f t="array" ref="N5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-5.9299191374663218E-3</v>
      </c>
    </row>
    <row r="52" spans="1:14">
      <c r="A52" s="18">
        <f>rawData_RentPriceIndex_HK!A52</f>
        <v>45352</v>
      </c>
      <c r="B52" s="20">
        <f>rawData_RentPriceIndex_HK!B52</f>
        <v>184.9</v>
      </c>
      <c r="C52" t="s">
        <v>35</v>
      </c>
      <c r="D52" t="s">
        <v>22</v>
      </c>
      <c r="E52" s="8">
        <v>45352</v>
      </c>
      <c r="F52">
        <v>50</v>
      </c>
      <c r="G52">
        <v>184</v>
      </c>
      <c r="H52">
        <v>176</v>
      </c>
      <c r="I52" s="16">
        <f t="shared" si="0"/>
        <v>2.7114967462039045E-3</v>
      </c>
      <c r="J52" s="16">
        <f>(Processed_RentPrice_CN_HK__2[[#This Row],[Value]]-B40)/B40</f>
        <v>4.9375709421112475E-2</v>
      </c>
      <c r="K52" s="7">
        <f>Processed_RentPrice_CN_HK__2[[#This Row],[Value]]/B51 * 100</f>
        <v>100.27114967462039</v>
      </c>
      <c r="L52" s="7">
        <f>Processed_RentPrice_CN_HK__2[[#This Row],[Value]]/B40 * 100</f>
        <v>104.93757094211125</v>
      </c>
      <c r="M52" s="7" cm="1">
        <f t="array" ref="M52">ROUND( Processed_RentPrice_CN_HK__2[[#This Row],[Value]] / AVERAGE( _xlfn._xlws.FILTER(Processed_RentPrice_CN_HK__2[Value], YEAR(Processed_RentPrice_CN_HK__2[Date])=2020) ), 3) * 100</f>
        <v>102.49999999999999</v>
      </c>
      <c r="N52" s="16" cm="1">
        <f t="array" ref="N5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-3.2345013477088624E-3</v>
      </c>
    </row>
    <row r="53" spans="1:14">
      <c r="A53" s="18">
        <f>rawData_RentPriceIndex_HK!A53</f>
        <v>45383</v>
      </c>
      <c r="B53" s="20">
        <f>rawData_RentPriceIndex_HK!B53</f>
        <v>186.9</v>
      </c>
      <c r="C53" t="s">
        <v>35</v>
      </c>
      <c r="D53" t="s">
        <v>22</v>
      </c>
      <c r="E53" s="8">
        <v>45383</v>
      </c>
      <c r="F53">
        <v>51</v>
      </c>
      <c r="G53">
        <v>185</v>
      </c>
      <c r="H53">
        <v>179</v>
      </c>
      <c r="I53" s="16">
        <f t="shared" si="0"/>
        <v>1.081665765278529E-2</v>
      </c>
      <c r="J53" s="16">
        <f>(Processed_RentPrice_CN_HK__2[[#This Row],[Value]]-B41)/B41</f>
        <v>4.5886961387800879E-2</v>
      </c>
      <c r="K53" s="7">
        <f>Processed_RentPrice_CN_HK__2[[#This Row],[Value]]/B52 * 100</f>
        <v>101.08166576527853</v>
      </c>
      <c r="L53" s="7">
        <f>Processed_RentPrice_CN_HK__2[[#This Row],[Value]]/B41 * 100</f>
        <v>104.58869613878008</v>
      </c>
      <c r="M53" s="7" cm="1">
        <f t="array" ref="M53">ROUND( Processed_RentPrice_CN_HK__2[[#This Row],[Value]] / AVERAGE( _xlfn._xlws.FILTER(Processed_RentPrice_CN_HK__2[Value], YEAR(Processed_RentPrice_CN_HK__2[Date])=2020) ), 3) * 100</f>
        <v>103.69999999999999</v>
      </c>
      <c r="N53" s="16" cm="1">
        <f t="array" ref="N5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7.547169811320753E-3</v>
      </c>
    </row>
    <row r="54" spans="1:14">
      <c r="A54" s="18">
        <f>rawData_RentPriceIndex_HK!A54</f>
        <v>45413</v>
      </c>
      <c r="B54" s="20">
        <f>rawData_RentPriceIndex_HK!B54</f>
        <v>190</v>
      </c>
      <c r="C54" t="s">
        <v>35</v>
      </c>
      <c r="D54" t="s">
        <v>22</v>
      </c>
      <c r="E54" s="8">
        <v>45413</v>
      </c>
      <c r="F54">
        <v>52</v>
      </c>
      <c r="G54">
        <v>187</v>
      </c>
      <c r="H54">
        <v>180</v>
      </c>
      <c r="I54" s="16">
        <f t="shared" si="0"/>
        <v>1.658640984483678E-2</v>
      </c>
      <c r="J54" s="16">
        <f>(Processed_RentPrice_CN_HK__2[[#This Row],[Value]]-B42)/B42</f>
        <v>5.6142301278488016E-2</v>
      </c>
      <c r="K54" s="7">
        <f>Processed_RentPrice_CN_HK__2[[#This Row],[Value]]/B53 * 100</f>
        <v>101.65864098448367</v>
      </c>
      <c r="L54" s="7">
        <f>Processed_RentPrice_CN_HK__2[[#This Row],[Value]]/B42 * 100</f>
        <v>105.61423012784881</v>
      </c>
      <c r="M54" s="7" cm="1">
        <f t="array" ref="M54">ROUND( Processed_RentPrice_CN_HK__2[[#This Row],[Value]] / AVERAGE( _xlfn._xlws.FILTER(Processed_RentPrice_CN_HK__2[Value], YEAR(Processed_RentPrice_CN_HK__2[Date])=2020) ), 3) * 100</f>
        <v>105.4</v>
      </c>
      <c r="N54" s="16" cm="1">
        <f t="array" ref="N5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2.4258760107816801E-2</v>
      </c>
    </row>
    <row r="55" spans="1:14">
      <c r="A55" s="18">
        <f>rawData_RentPriceIndex_HK!A55</f>
        <v>45444</v>
      </c>
      <c r="B55" s="20">
        <f>rawData_RentPriceIndex_HK!B55</f>
        <v>192.5</v>
      </c>
      <c r="C55" t="s">
        <v>35</v>
      </c>
      <c r="D55" t="s">
        <v>22</v>
      </c>
      <c r="E55" s="8">
        <v>45444</v>
      </c>
      <c r="F55">
        <v>53</v>
      </c>
      <c r="G55">
        <v>190</v>
      </c>
      <c r="H55">
        <v>181</v>
      </c>
      <c r="I55" s="16">
        <f t="shared" si="0"/>
        <v>1.3157894736842105E-2</v>
      </c>
      <c r="J55" s="16">
        <f>(Processed_RentPrice_CN_HK__2[[#This Row],[Value]]-B43)/B43</f>
        <v>6.412382531785514E-2</v>
      </c>
      <c r="K55" s="7">
        <f>Processed_RentPrice_CN_HK__2[[#This Row],[Value]]/B54 * 100</f>
        <v>101.31578947368421</v>
      </c>
      <c r="L55" s="7">
        <f>Processed_RentPrice_CN_HK__2[[#This Row],[Value]]/B43 * 100</f>
        <v>106.41238253178551</v>
      </c>
      <c r="M55" s="7" cm="1">
        <f t="array" ref="M55">ROUND( Processed_RentPrice_CN_HK__2[[#This Row],[Value]] / AVERAGE( _xlfn._xlws.FILTER(Processed_RentPrice_CN_HK__2[Value], YEAR(Processed_RentPrice_CN_HK__2[Date])=2020) ), 3) * 100</f>
        <v>106.80000000000001</v>
      </c>
      <c r="N55" s="16" cm="1">
        <f t="array" ref="N5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3.7735849056603765E-2</v>
      </c>
    </row>
    <row r="56" spans="1:14">
      <c r="A56" s="18">
        <f>rawData_RentPriceIndex_HK!A56</f>
        <v>45474</v>
      </c>
      <c r="B56" s="20">
        <f>rawData_RentPriceIndex_HK!B56</f>
        <v>193.8</v>
      </c>
      <c r="C56" t="s">
        <v>35</v>
      </c>
      <c r="D56" t="s">
        <v>22</v>
      </c>
      <c r="E56" s="8">
        <v>45474</v>
      </c>
      <c r="F56">
        <v>54</v>
      </c>
      <c r="G56">
        <v>192</v>
      </c>
      <c r="H56">
        <v>182</v>
      </c>
      <c r="I56" s="16">
        <f t="shared" si="0"/>
        <v>6.7532467532468122E-3</v>
      </c>
      <c r="J56" s="16">
        <f>(Processed_RentPrice_CN_HK__2[[#This Row],[Value]]-B44)/B44</f>
        <v>6.4835164835164896E-2</v>
      </c>
      <c r="K56" s="7">
        <f>Processed_RentPrice_CN_HK__2[[#This Row],[Value]]/B55 * 100</f>
        <v>100.67532467532467</v>
      </c>
      <c r="L56" s="7">
        <f>Processed_RentPrice_CN_HK__2[[#This Row],[Value]]/B44 * 100</f>
        <v>106.48351648351648</v>
      </c>
      <c r="M56" s="7" cm="1">
        <f t="array" ref="M56">ROUND( Processed_RentPrice_CN_HK__2[[#This Row],[Value]] / AVERAGE( _xlfn._xlws.FILTER(Processed_RentPrice_CN_HK__2[Value], YEAR(Processed_RentPrice_CN_HK__2[Date])=2020) ), 3) * 100</f>
        <v>107.5</v>
      </c>
      <c r="N56" s="16" cm="1">
        <f t="array" ref="N5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4.4743935309973004E-2</v>
      </c>
    </row>
    <row r="57" spans="1:14">
      <c r="A57" s="18">
        <f>rawData_RentPriceIndex_HK!A57</f>
        <v>45505</v>
      </c>
      <c r="B57" s="20">
        <f>rawData_RentPriceIndex_HK!B57</f>
        <v>195.1</v>
      </c>
      <c r="C57" t="s">
        <v>35</v>
      </c>
      <c r="D57" t="s">
        <v>22</v>
      </c>
      <c r="E57" s="8">
        <v>45505</v>
      </c>
      <c r="F57">
        <v>55</v>
      </c>
      <c r="G57">
        <v>194</v>
      </c>
      <c r="H57">
        <v>185</v>
      </c>
      <c r="I57" s="16">
        <f t="shared" si="0"/>
        <v>6.7079463364292198E-3</v>
      </c>
      <c r="J57" s="16">
        <f>(Processed_RentPrice_CN_HK__2[[#This Row],[Value]]-B45)/B45</f>
        <v>5.5164954029204911E-2</v>
      </c>
      <c r="K57" s="7">
        <f>Processed_RentPrice_CN_HK__2[[#This Row],[Value]]/B56 * 100</f>
        <v>100.67079463364293</v>
      </c>
      <c r="L57" s="7">
        <f>Processed_RentPrice_CN_HK__2[[#This Row],[Value]]/B45 * 100</f>
        <v>105.5164954029205</v>
      </c>
      <c r="M57" s="7" cm="1">
        <f t="array" ref="M57">ROUND( Processed_RentPrice_CN_HK__2[[#This Row],[Value]] / AVERAGE( _xlfn._xlws.FILTER(Processed_RentPrice_CN_HK__2[Value], YEAR(Processed_RentPrice_CN_HK__2[Date])=2020) ), 3) * 100</f>
        <v>108.2</v>
      </c>
      <c r="N57" s="16" cm="1">
        <f t="array" ref="N5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5.1752021563342243E-2</v>
      </c>
    </row>
    <row r="58" spans="1:14">
      <c r="A58" s="18">
        <f>rawData_RentPriceIndex_HK!A58</f>
        <v>45536</v>
      </c>
      <c r="B58" s="20">
        <f>rawData_RentPriceIndex_HK!B58</f>
        <v>195.3</v>
      </c>
      <c r="C58" t="s">
        <v>35</v>
      </c>
      <c r="D58" t="s">
        <v>22</v>
      </c>
      <c r="E58" s="8">
        <v>45536</v>
      </c>
      <c r="F58">
        <v>56</v>
      </c>
      <c r="G58">
        <v>195</v>
      </c>
      <c r="H58">
        <v>185</v>
      </c>
      <c r="I58" s="16">
        <f t="shared" si="0"/>
        <v>1.0251153254742032E-3</v>
      </c>
      <c r="J58" s="16">
        <f>(Processed_RentPrice_CN_HK__2[[#This Row],[Value]]-B46)/B46</f>
        <v>5.4535637149028204E-2</v>
      </c>
      <c r="K58" s="7">
        <f>Processed_RentPrice_CN_HK__2[[#This Row],[Value]]/B57 * 100</f>
        <v>100.10251153254741</v>
      </c>
      <c r="L58" s="7">
        <f>Processed_RentPrice_CN_HK__2[[#This Row],[Value]]/B46 * 100</f>
        <v>105.45356371490283</v>
      </c>
      <c r="M58" s="7" cm="1">
        <f t="array" ref="M58">ROUND( Processed_RentPrice_CN_HK__2[[#This Row],[Value]] / AVERAGE( _xlfn._xlws.FILTER(Processed_RentPrice_CN_HK__2[Value], YEAR(Processed_RentPrice_CN_HK__2[Date])=2020) ), 3) * 100</f>
        <v>108.3</v>
      </c>
      <c r="N58" s="16" cm="1">
        <f t="array" ref="N5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5.2830188679245271E-2</v>
      </c>
    </row>
    <row r="59" spans="1:14">
      <c r="A59" s="18">
        <f>rawData_RentPriceIndex_HK!A59</f>
        <v>45566</v>
      </c>
      <c r="B59" s="20">
        <f>rawData_RentPriceIndex_HK!B59</f>
        <v>192.7</v>
      </c>
      <c r="C59" t="s">
        <v>35</v>
      </c>
      <c r="D59" t="s">
        <v>22</v>
      </c>
      <c r="E59" s="8">
        <v>45566</v>
      </c>
      <c r="F59">
        <v>57</v>
      </c>
      <c r="G59">
        <v>195</v>
      </c>
      <c r="H59">
        <v>185</v>
      </c>
      <c r="I59" s="16">
        <f t="shared" si="0"/>
        <v>-1.3312852022529558E-2</v>
      </c>
      <c r="J59" s="16">
        <f>(Processed_RentPrice_CN_HK__2[[#This Row],[Value]]-B47)/B47</f>
        <v>3.9374325782092677E-2</v>
      </c>
      <c r="K59" s="7">
        <f>Processed_RentPrice_CN_HK__2[[#This Row],[Value]]/B58 * 100</f>
        <v>98.668714797747043</v>
      </c>
      <c r="L59" s="7">
        <f>Processed_RentPrice_CN_HK__2[[#This Row],[Value]]/B47 * 100</f>
        <v>103.93743257820927</v>
      </c>
      <c r="M59" s="7" cm="1">
        <f t="array" ref="M59">ROUND( Processed_RentPrice_CN_HK__2[[#This Row],[Value]] / AVERAGE( _xlfn._xlws.FILTER(Processed_RentPrice_CN_HK__2[Value], YEAR(Processed_RentPrice_CN_HK__2[Date])=2020) ), 3) * 100</f>
        <v>106.89999999999999</v>
      </c>
      <c r="N59" s="16" cm="1">
        <f t="array" ref="N5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3.8814016172506571E-2</v>
      </c>
    </row>
    <row r="60" spans="1:14">
      <c r="A60" s="18">
        <f>rawData_RentPriceIndex_HK!A60</f>
        <v>45597</v>
      </c>
      <c r="B60" s="20">
        <f>rawData_RentPriceIndex_HK!B60</f>
        <v>191.9</v>
      </c>
      <c r="C60" t="s">
        <v>35</v>
      </c>
      <c r="D60" t="s">
        <v>22</v>
      </c>
      <c r="E60" s="8">
        <v>45597</v>
      </c>
      <c r="F60">
        <v>58</v>
      </c>
      <c r="G60">
        <v>193</v>
      </c>
      <c r="H60">
        <v>186</v>
      </c>
      <c r="I60" s="16">
        <f t="shared" si="0"/>
        <v>-4.1515308770108091E-3</v>
      </c>
      <c r="J60" s="16">
        <f>(Processed_RentPrice_CN_HK__2[[#This Row],[Value]]-B48)/B48</f>
        <v>3.450134770889491E-2</v>
      </c>
      <c r="K60" s="7">
        <f>Processed_RentPrice_CN_HK__2[[#This Row],[Value]]/B59 * 100</f>
        <v>99.584846912298914</v>
      </c>
      <c r="L60" s="7">
        <f>Processed_RentPrice_CN_HK__2[[#This Row],[Value]]/B48 * 100</f>
        <v>103.45013477088949</v>
      </c>
      <c r="M60" s="7" cm="1">
        <f t="array" ref="M60">ROUND( Processed_RentPrice_CN_HK__2[[#This Row],[Value]] / AVERAGE( _xlfn._xlws.FILTER(Processed_RentPrice_CN_HK__2[Value], YEAR(Processed_RentPrice_CN_HK__2[Date])=2020) ), 3) * 100</f>
        <v>106.4</v>
      </c>
      <c r="N60" s="16" cm="1">
        <f t="array" ref="N6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3.4501347708894903E-2</v>
      </c>
    </row>
    <row r="61" spans="1:14">
      <c r="A61" s="18">
        <f>rawData_RentPriceIndex_HK!A61</f>
        <v>45627</v>
      </c>
      <c r="B61" s="20">
        <f>rawData_RentPriceIndex_HK!B61</f>
        <v>192.5</v>
      </c>
      <c r="C61" t="s">
        <v>35</v>
      </c>
      <c r="D61" t="s">
        <v>22</v>
      </c>
      <c r="E61" s="8">
        <v>45627</v>
      </c>
      <c r="F61">
        <v>59</v>
      </c>
      <c r="G61">
        <v>192</v>
      </c>
      <c r="H61">
        <v>186</v>
      </c>
      <c r="I61" s="16">
        <f t="shared" si="0"/>
        <v>3.1266284523188866E-3</v>
      </c>
      <c r="J61" s="16">
        <f>(Processed_RentPrice_CN_HK__2[[#This Row],[Value]]-B49)/B49</f>
        <v>3.4946236559139782E-2</v>
      </c>
      <c r="K61" s="7">
        <f>Processed_RentPrice_CN_HK__2[[#This Row],[Value]]/B60 * 100</f>
        <v>100.31266284523188</v>
      </c>
      <c r="L61" s="7">
        <f>Processed_RentPrice_CN_HK__2[[#This Row],[Value]]/B49 * 100</f>
        <v>103.49462365591397</v>
      </c>
      <c r="M61" s="7" cm="1">
        <f t="array" ref="M61">ROUND( Processed_RentPrice_CN_HK__2[[#This Row],[Value]] / AVERAGE( _xlfn._xlws.FILTER(Processed_RentPrice_CN_HK__2[Value], YEAR(Processed_RentPrice_CN_HK__2[Date])=2020) ), 3) * 100</f>
        <v>106.80000000000001</v>
      </c>
      <c r="N61" s="16" cm="1">
        <f t="array" ref="N6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3.7735849056603765E-2</v>
      </c>
    </row>
    <row r="62" spans="1:14">
      <c r="A62" s="18">
        <f>rawData_RentPriceIndex_HK!A62</f>
        <v>45658</v>
      </c>
      <c r="B62" s="20">
        <f>rawData_RentPriceIndex_HK!B62</f>
        <v>192.8</v>
      </c>
      <c r="C62" t="s">
        <v>35</v>
      </c>
      <c r="D62" t="s">
        <v>22</v>
      </c>
      <c r="E62" s="8">
        <v>45658</v>
      </c>
      <c r="F62">
        <v>60</v>
      </c>
      <c r="G62">
        <v>192</v>
      </c>
      <c r="H62">
        <v>186</v>
      </c>
      <c r="I62" s="16">
        <f t="shared" si="0"/>
        <v>1.5584415584416174E-3</v>
      </c>
      <c r="J62" s="16">
        <f>(Processed_RentPrice_CN_HK__2[[#This Row],[Value]]-B50)/B50</f>
        <v>3.935309973045828E-2</v>
      </c>
      <c r="K62" s="7">
        <f>Processed_RentPrice_CN_HK__2[[#This Row],[Value]]/B61 * 100</f>
        <v>100.15584415584415</v>
      </c>
      <c r="L62" s="7">
        <f>Processed_RentPrice_CN_HK__2[[#This Row],[Value]]/B50 * 100</f>
        <v>103.93530997304583</v>
      </c>
      <c r="M62" s="7" cm="1">
        <f t="array" ref="M62">ROUND( Processed_RentPrice_CN_HK__2[[#This Row],[Value]] / AVERAGE( _xlfn._xlws.FILTER(Processed_RentPrice_CN_HK__2[Value], YEAR(Processed_RentPrice_CN_HK__2[Date])=2020) ), 3) * 100</f>
        <v>106.89999999999999</v>
      </c>
      <c r="N62" s="16" cm="1">
        <f t="array" ref="N6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63" spans="1:14">
      <c r="A63" s="18">
        <f>rawData_RentPriceIndex_HK!A63</f>
        <v>45689</v>
      </c>
      <c r="B63" s="20">
        <f>rawData_RentPriceIndex_HK!B63</f>
        <v>193</v>
      </c>
      <c r="C63" t="s">
        <v>35</v>
      </c>
      <c r="D63" t="s">
        <v>22</v>
      </c>
      <c r="E63" s="8">
        <v>45689</v>
      </c>
      <c r="F63">
        <v>61</v>
      </c>
      <c r="G63">
        <v>193</v>
      </c>
      <c r="H63">
        <v>184</v>
      </c>
      <c r="I63" s="16">
        <f t="shared" si="0"/>
        <v>1.03734439834019E-3</v>
      </c>
      <c r="J63" s="16">
        <f>(Processed_RentPrice_CN_HK__2[[#This Row],[Value]]-B51)/B51</f>
        <v>4.6637744034707128E-2</v>
      </c>
      <c r="K63" s="7">
        <f>Processed_RentPrice_CN_HK__2[[#This Row],[Value]]/B62 * 100</f>
        <v>100.10373443983403</v>
      </c>
      <c r="L63" s="7">
        <f>Processed_RentPrice_CN_HK__2[[#This Row],[Value]]/B51 * 100</f>
        <v>104.66377440347073</v>
      </c>
      <c r="M63" s="7" cm="1">
        <f t="array" ref="M63">ROUND( Processed_RentPrice_CN_HK__2[[#This Row],[Value]] / AVERAGE( _xlfn._xlws.FILTER(Processed_RentPrice_CN_HK__2[Value], YEAR(Processed_RentPrice_CN_HK__2[Date])=2020) ), 3) * 100</f>
        <v>107</v>
      </c>
      <c r="N63" s="16" cm="1">
        <f t="array" ref="N6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1.0373443983402453E-3</v>
      </c>
    </row>
    <row r="64" spans="1:14">
      <c r="A64" s="18">
        <f>rawData_RentPriceIndex_HK!A64</f>
        <v>45717</v>
      </c>
      <c r="B64" s="20">
        <f>rawData_RentPriceIndex_HK!B64</f>
        <v>193.1</v>
      </c>
      <c r="C64" t="s">
        <v>35</v>
      </c>
      <c r="D64" t="s">
        <v>22</v>
      </c>
      <c r="E64" s="8">
        <v>45717</v>
      </c>
      <c r="F64">
        <v>62</v>
      </c>
      <c r="G64">
        <v>193</v>
      </c>
      <c r="H64">
        <v>185</v>
      </c>
      <c r="I64" s="16">
        <f t="shared" si="0"/>
        <v>5.1813471502587733E-4</v>
      </c>
      <c r="J64" s="16">
        <f>(Processed_RentPrice_CN_HK__2[[#This Row],[Value]]-B52)/B52</f>
        <v>4.434829637641962E-2</v>
      </c>
      <c r="K64" s="7">
        <f>Processed_RentPrice_CN_HK__2[[#This Row],[Value]]/B63 * 100</f>
        <v>100.05181347150258</v>
      </c>
      <c r="L64" s="7">
        <f>Processed_RentPrice_CN_HK__2[[#This Row],[Value]]/B52 * 100</f>
        <v>104.43482963764197</v>
      </c>
      <c r="M64" s="7" cm="1">
        <f t="array" ref="M64">ROUND( Processed_RentPrice_CN_HK__2[[#This Row],[Value]] / AVERAGE( _xlfn._xlws.FILTER(Processed_RentPrice_CN_HK__2[Value], YEAR(Processed_RentPrice_CN_HK__2[Date])=2020) ), 3) * 100</f>
        <v>107.1</v>
      </c>
      <c r="N64" s="16" cm="1">
        <f t="array" ref="N6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1.5560165975103679E-3</v>
      </c>
    </row>
    <row r="65" spans="1:14">
      <c r="A65" s="18">
        <f>rawData_RentPriceIndex_HK!A65</f>
        <v>45748</v>
      </c>
      <c r="B65" s="20">
        <f>rawData_RentPriceIndex_HK!B65</f>
        <v>193.9</v>
      </c>
      <c r="C65" t="s">
        <v>35</v>
      </c>
      <c r="D65" t="s">
        <v>22</v>
      </c>
      <c r="E65" s="8">
        <v>45748</v>
      </c>
      <c r="F65">
        <v>63</v>
      </c>
      <c r="G65">
        <v>193</v>
      </c>
      <c r="H65">
        <v>187</v>
      </c>
      <c r="I65" s="16">
        <f t="shared" si="0"/>
        <v>4.142931123770126E-3</v>
      </c>
      <c r="J65" s="16">
        <f>(Processed_RentPrice_CN_HK__2[[#This Row],[Value]]-B53)/B53</f>
        <v>3.7453183520599252E-2</v>
      </c>
      <c r="K65" s="7">
        <f>Processed_RentPrice_CN_HK__2[[#This Row],[Value]]/B64 * 100</f>
        <v>100.41429311237702</v>
      </c>
      <c r="L65" s="7">
        <f>Processed_RentPrice_CN_HK__2[[#This Row],[Value]]/B53 * 100</f>
        <v>103.74531835205994</v>
      </c>
      <c r="M65" s="7" cm="1">
        <f t="array" ref="M65">ROUND( Processed_RentPrice_CN_HK__2[[#This Row],[Value]] / AVERAGE( _xlfn._xlws.FILTER(Processed_RentPrice_CN_HK__2[Value], YEAR(Processed_RentPrice_CN_HK__2[Date])=2020) ), 3) * 100</f>
        <v>107.5</v>
      </c>
      <c r="N65" s="16" cm="1">
        <f t="array" ref="N6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5.705394190871349E-3</v>
      </c>
    </row>
    <row r="66" spans="1:14">
      <c r="A66" s="18">
        <f>rawData_RentPriceIndex_HK!A66</f>
        <v>45778</v>
      </c>
      <c r="B66" s="20">
        <f>rawData_RentPriceIndex_HK!B66</f>
        <v>194.2</v>
      </c>
      <c r="C66" t="s">
        <v>35</v>
      </c>
      <c r="D66" t="s">
        <v>22</v>
      </c>
      <c r="E66" s="8">
        <v>45778</v>
      </c>
      <c r="F66">
        <v>64</v>
      </c>
      <c r="G66">
        <v>194</v>
      </c>
      <c r="H66">
        <v>190</v>
      </c>
      <c r="I66" s="16">
        <f t="shared" si="0"/>
        <v>1.5471892728209538E-3</v>
      </c>
      <c r="J66" s="16">
        <f>(Processed_RentPrice_CN_HK__2[[#This Row],[Value]]-B54)/B54</f>
        <v>2.2105263157894676E-2</v>
      </c>
      <c r="K66" s="7">
        <f>Processed_RentPrice_CN_HK__2[[#This Row],[Value]]/B65 * 100</f>
        <v>100.15471892728209</v>
      </c>
      <c r="L66" s="7">
        <f>Processed_RentPrice_CN_HK__2[[#This Row],[Value]]/B54 * 100</f>
        <v>102.21052631578947</v>
      </c>
      <c r="M66" s="7" cm="1">
        <f t="array" ref="M66">ROUND( Processed_RentPrice_CN_HK__2[[#This Row],[Value]] / AVERAGE( _xlfn._xlws.FILTER(Processed_RentPrice_CN_HK__2[Value], YEAR(Processed_RentPrice_CN_HK__2[Date])=2020) ), 3) * 100</f>
        <v>107.69999999999999</v>
      </c>
      <c r="N66" s="16" cm="1">
        <f t="array" ref="N6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7.2614107883817169E-3</v>
      </c>
    </row>
    <row r="67" spans="1:14">
      <c r="A67" s="18">
        <f>rawData_RentPriceIndex_HK!A67</f>
        <v>45809</v>
      </c>
      <c r="B67" s="20">
        <f>rawData_RentPriceIndex_HK!B67</f>
        <v>195.9</v>
      </c>
      <c r="C67" t="s">
        <v>35</v>
      </c>
      <c r="D67" t="s">
        <v>22</v>
      </c>
      <c r="E67" s="8">
        <v>45809</v>
      </c>
      <c r="F67">
        <v>65</v>
      </c>
      <c r="G67">
        <v>194</v>
      </c>
      <c r="H67">
        <v>192</v>
      </c>
      <c r="I67" s="16">
        <f t="shared" si="0"/>
        <v>8.7538619979403553E-3</v>
      </c>
      <c r="J67" s="16">
        <f>(Processed_RentPrice_CN_HK__2[[#This Row],[Value]]-B55)/B55</f>
        <v>1.7662337662337692E-2</v>
      </c>
      <c r="K67" s="7">
        <f>Processed_RentPrice_CN_HK__2[[#This Row],[Value]]/B66 * 100</f>
        <v>100.87538619979404</v>
      </c>
      <c r="L67" s="7">
        <f>Processed_RentPrice_CN_HK__2[[#This Row],[Value]]/B55 * 100</f>
        <v>101.76623376623377</v>
      </c>
      <c r="M67" s="7" cm="1">
        <f t="array" ref="M67">ROUND( Processed_RentPrice_CN_HK__2[[#This Row],[Value]] / AVERAGE( _xlfn._xlws.FILTER(Processed_RentPrice_CN_HK__2[Value], YEAR(Processed_RentPrice_CN_HK__2[Date])=2020) ), 3) * 100</f>
        <v>108.60000000000001</v>
      </c>
      <c r="N67" s="16" cm="1">
        <f t="array" ref="N6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1.6078838174273802E-2</v>
      </c>
    </row>
    <row r="68" spans="1:14">
      <c r="A68" s="18">
        <f>rawData_RentPriceIndex_HK!A68</f>
        <v>45839</v>
      </c>
      <c r="B68" s="20">
        <f>rawData_RentPriceIndex_HK!B68</f>
        <v>197.4</v>
      </c>
      <c r="C68" t="s">
        <v>35</v>
      </c>
      <c r="D68" t="s">
        <v>22</v>
      </c>
      <c r="E68" s="8">
        <v>45839</v>
      </c>
      <c r="F68">
        <v>66</v>
      </c>
      <c r="G68">
        <v>196</v>
      </c>
      <c r="H68">
        <v>194</v>
      </c>
      <c r="I68" s="16">
        <f t="shared" ref="I68:I70" si="1">(B68-B67)/B67</f>
        <v>7.656967840735069E-3</v>
      </c>
      <c r="J68" s="16">
        <f>(Processed_RentPrice_CN_HK__2[[#This Row],[Value]]-B56)/B56</f>
        <v>1.8575851393188823E-2</v>
      </c>
      <c r="K68" s="7">
        <f>Processed_RentPrice_CN_HK__2[[#This Row],[Value]]/B67 * 100</f>
        <v>100.7656967840735</v>
      </c>
      <c r="L68" s="7">
        <f>Processed_RentPrice_CN_HK__2[[#This Row],[Value]]/B56 * 100</f>
        <v>101.85758513931889</v>
      </c>
      <c r="M68" s="7" cm="1">
        <f t="array" ref="M68">ROUND( Processed_RentPrice_CN_HK__2[[#This Row],[Value]] / AVERAGE( _xlfn._xlws.FILTER(Processed_RentPrice_CN_HK__2[Value], YEAR(Processed_RentPrice_CN_HK__2[Date])=2020) ), 3) * 100</f>
        <v>109.5</v>
      </c>
      <c r="N68" s="16" cm="1">
        <f t="array" ref="N68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2.3858921161825641E-2</v>
      </c>
    </row>
    <row r="69" spans="1:14">
      <c r="A69" s="18">
        <f>rawData_RentPriceIndex_HK!A69</f>
        <v>45870</v>
      </c>
      <c r="B69" s="20">
        <f>rawData_RentPriceIndex_HK!B69</f>
        <v>199.9</v>
      </c>
      <c r="C69" t="s">
        <v>35</v>
      </c>
      <c r="D69" t="s">
        <v>22</v>
      </c>
      <c r="E69" s="8">
        <v>45870</v>
      </c>
      <c r="F69">
        <v>67</v>
      </c>
      <c r="G69">
        <v>196</v>
      </c>
      <c r="H69">
        <v>195</v>
      </c>
      <c r="I69" s="16">
        <f t="shared" si="1"/>
        <v>1.2664640324214792E-2</v>
      </c>
      <c r="J69" s="16">
        <f>(Processed_RentPrice_CN_HK__2[[#This Row],[Value]]-B57)/B57</f>
        <v>2.460276781137884E-2</v>
      </c>
      <c r="K69" s="7">
        <f>Processed_RentPrice_CN_HK__2[[#This Row],[Value]]/B68 * 100</f>
        <v>101.26646403242148</v>
      </c>
      <c r="L69" s="7">
        <f>Processed_RentPrice_CN_HK__2[[#This Row],[Value]]/B57 * 100</f>
        <v>102.46027678113789</v>
      </c>
      <c r="M69" s="7" cm="1">
        <f t="array" ref="M69">ROUND( Processed_RentPrice_CN_HK__2[[#This Row],[Value]] / AVERAGE( _xlfn._xlws.FILTER(Processed_RentPrice_CN_HK__2[Value], YEAR(Processed_RentPrice_CN_HK__2[Date])=2020) ), 3) * 100</f>
        <v>110.9</v>
      </c>
      <c r="N69" s="16" cm="1">
        <f t="array" ref="N69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3.6825726141078707E-2</v>
      </c>
    </row>
    <row r="70" spans="1:14">
      <c r="A70" s="18">
        <f>rawData_RentPriceIndex_HK!A70</f>
        <v>45901</v>
      </c>
      <c r="B70" s="20">
        <f>rawData_RentPriceIndex_HK!B70</f>
        <v>199.9</v>
      </c>
      <c r="E70" s="8"/>
      <c r="I70" s="16">
        <f t="shared" si="1"/>
        <v>0</v>
      </c>
      <c r="J70" s="16">
        <f>(Processed_RentPrice_CN_HK__2[[#This Row],[Value]]-B58)/B58</f>
        <v>2.3553507424475137E-2</v>
      </c>
      <c r="K70" s="7">
        <f>Processed_RentPrice_CN_HK__2[[#This Row],[Value]]/B69 * 100</f>
        <v>100</v>
      </c>
      <c r="L70" s="7">
        <f>Processed_RentPrice_CN_HK__2[[#This Row],[Value]]/B58 * 100</f>
        <v>102.3553507424475</v>
      </c>
      <c r="M70" s="7" cm="1">
        <f t="array" ref="M70">ROUND( Processed_RentPrice_CN_HK__2[[#This Row],[Value]] / AVERAGE( _xlfn._xlws.FILTER(Processed_RentPrice_CN_HK__2[Value], YEAR(Processed_RentPrice_CN_HK__2[Date])=2020) ), 3) * 100</f>
        <v>110.9</v>
      </c>
      <c r="N70" s="16" cm="1">
        <f t="array" ref="N70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3.6825726141078707E-2</v>
      </c>
    </row>
    <row r="71" spans="1:14">
      <c r="A71" s="18">
        <f>rawData_RentPriceIndex_HK!A71</f>
        <v>45931</v>
      </c>
      <c r="B71" s="20">
        <f>rawData_RentPriceIndex_HK!B71</f>
        <v>199.9</v>
      </c>
      <c r="C71" t="s">
        <v>35</v>
      </c>
      <c r="D71" t="s">
        <v>22</v>
      </c>
      <c r="E71" s="8">
        <v>45871</v>
      </c>
      <c r="F71">
        <v>67</v>
      </c>
      <c r="G71">
        <v>196</v>
      </c>
      <c r="H71">
        <v>195</v>
      </c>
      <c r="I71" s="16">
        <f t="shared" ref="I71:I74" si="2">(B71-B70)/B70</f>
        <v>0</v>
      </c>
      <c r="J71" s="16">
        <f>(Processed_RentPrice_CN_HK__2[[#This Row],[Value]]-B59)/B59</f>
        <v>3.7363777893098173E-2</v>
      </c>
      <c r="K71" s="7">
        <f>Processed_RentPrice_CN_HK__2[[#This Row],[Value]]/B70 * 100</f>
        <v>100</v>
      </c>
      <c r="L71" s="7">
        <f>Processed_RentPrice_CN_HK__2[[#This Row],[Value]]/B59 * 100</f>
        <v>103.73637778930981</v>
      </c>
      <c r="M71" s="7" cm="1">
        <f t="array" ref="M71">ROUND( Processed_RentPrice_CN_HK__2[[#This Row],[Value]] / AVERAGE( _xlfn._xlws.FILTER(Processed_RentPrice_CN_HK__2[Value], YEAR(Processed_RentPrice_CN_HK__2[Date])=2020) ), 3) * 100</f>
        <v>110.9</v>
      </c>
      <c r="N71" s="16" cm="1">
        <f t="array" ref="N71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3.6825726141078707E-2</v>
      </c>
    </row>
    <row r="72" spans="1:14">
      <c r="A72" s="18">
        <f>rawData_RentPriceIndex_HK!A72</f>
        <v>45962</v>
      </c>
      <c r="B72" s="20">
        <f>rawData_RentPriceIndex_HK!B72</f>
        <v>200.4</v>
      </c>
      <c r="C72" t="s">
        <v>35</v>
      </c>
      <c r="D72" t="s">
        <v>22</v>
      </c>
      <c r="E72" s="8">
        <v>45839</v>
      </c>
      <c r="F72">
        <v>67.428571428571402</v>
      </c>
      <c r="G72">
        <v>196</v>
      </c>
      <c r="H72">
        <v>195.42857142857099</v>
      </c>
      <c r="I72" s="16">
        <f t="shared" si="2"/>
        <v>2.5012506253126563E-3</v>
      </c>
      <c r="J72" s="16">
        <f>(Processed_RentPrice_CN_HK__2[[#This Row],[Value]]-B60)/B60</f>
        <v>4.4293903074517978E-2</v>
      </c>
      <c r="K72" s="7">
        <f>Processed_RentPrice_CN_HK__2[[#This Row],[Value]]/B71 * 100</f>
        <v>100.25012506253125</v>
      </c>
      <c r="L72" s="7">
        <f>Processed_RentPrice_CN_HK__2[[#This Row],[Value]]/B60 * 100</f>
        <v>104.4293903074518</v>
      </c>
      <c r="M72" s="7" cm="1">
        <f t="array" ref="M72">ROUND( Processed_RentPrice_CN_HK__2[[#This Row],[Value]] / AVERAGE( _xlfn._xlws.FILTER(Processed_RentPrice_CN_HK__2[Value], YEAR(Processed_RentPrice_CN_HK__2[Date])=2020) ), 3) * 100</f>
        <v>111.1</v>
      </c>
      <c r="N72" s="16" cm="1">
        <f t="array" ref="N72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3.9419087136929321E-2</v>
      </c>
    </row>
    <row r="73" spans="1:14">
      <c r="A73" s="18">
        <f>rawData_RentPriceIndex_HK!A73</f>
        <v>45992</v>
      </c>
      <c r="B73" s="20">
        <f>rawData_RentPriceIndex_HK!B73</f>
        <v>200.4</v>
      </c>
      <c r="C73" t="s">
        <v>35</v>
      </c>
      <c r="D73" t="s">
        <v>22</v>
      </c>
      <c r="E73" s="8">
        <v>45870</v>
      </c>
      <c r="F73">
        <v>67.714285714285694</v>
      </c>
      <c r="G73">
        <v>196</v>
      </c>
      <c r="H73">
        <v>195.71428571428601</v>
      </c>
      <c r="I73" s="16">
        <f t="shared" si="2"/>
        <v>0</v>
      </c>
      <c r="J73" s="16">
        <f>(Processed_RentPrice_CN_HK__2[[#This Row],[Value]]-B61)/B61</f>
        <v>4.1038961038961069E-2</v>
      </c>
      <c r="K73" s="7">
        <f>Processed_RentPrice_CN_HK__2[[#This Row],[Value]]/B72 * 100</f>
        <v>100</v>
      </c>
      <c r="L73" s="7">
        <f>Processed_RentPrice_CN_HK__2[[#This Row],[Value]]/B61 * 100</f>
        <v>104.1038961038961</v>
      </c>
      <c r="M73" s="7" cm="1">
        <f t="array" ref="M73">ROUND( Processed_RentPrice_CN_HK__2[[#This Row],[Value]] / AVERAGE( _xlfn._xlws.FILTER(Processed_RentPrice_CN_HK__2[Value], YEAR(Processed_RentPrice_CN_HK__2[Date])=2020) ), 3) * 100</f>
        <v>111.1</v>
      </c>
      <c r="N73" s="16" cm="1">
        <f t="array" ref="N73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3.9419087136929321E-2</v>
      </c>
    </row>
    <row r="74" spans="1:14">
      <c r="A74" s="18">
        <f>rawData_RentPriceIndex_HK!A74</f>
        <v>46023</v>
      </c>
      <c r="B74" s="20">
        <f>rawData_RentPriceIndex_HK!B74</f>
        <v>200.8</v>
      </c>
      <c r="E74" s="8"/>
      <c r="F74">
        <v>68</v>
      </c>
      <c r="H74">
        <v>196</v>
      </c>
      <c r="I74" s="16">
        <f t="shared" si="2"/>
        <v>1.9960079840319646E-3</v>
      </c>
      <c r="J74" s="16">
        <f>(Processed_RentPrice_CN_HK__2[[#This Row],[Value]]-B62)/B62</f>
        <v>4.1493775933609957E-2</v>
      </c>
      <c r="K74" s="7">
        <f>Processed_RentPrice_CN_HK__2[[#This Row],[Value]]/B73 * 100</f>
        <v>100.1996007984032</v>
      </c>
      <c r="L74" s="7">
        <f>Processed_RentPrice_CN_HK__2[[#This Row],[Value]]/B62 * 100</f>
        <v>104.14937759336101</v>
      </c>
      <c r="M74" s="7" cm="1">
        <f t="array" ref="M74">ROUND( Processed_RentPrice_CN_HK__2[[#This Row],[Value]] / AVERAGE( _xlfn._xlws.FILTER(Processed_RentPrice_CN_HK__2[Value], YEAR(Processed_RentPrice_CN_HK__2[Date])=2020) ), 3) * 100</f>
        <v>111.4</v>
      </c>
      <c r="N74" s="16" cm="1">
        <f t="array" ref="N74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0</v>
      </c>
    </row>
    <row r="75" spans="1:14">
      <c r="A75" s="18">
        <f>rawData_RentPriceIndex_HK!A75</f>
        <v>46054</v>
      </c>
      <c r="B75" s="20">
        <f>rawData_RentPriceIndex_HK!B75</f>
        <v>201</v>
      </c>
      <c r="C75" t="s">
        <v>35</v>
      </c>
      <c r="D75" t="s">
        <v>22</v>
      </c>
      <c r="E75" s="8">
        <v>45871</v>
      </c>
      <c r="F75">
        <v>68.285714285714306</v>
      </c>
      <c r="G75">
        <v>196</v>
      </c>
      <c r="H75">
        <v>196.28571428571399</v>
      </c>
      <c r="I75" s="16">
        <f t="shared" ref="I75:I76" si="3">(B75-B74)/B74</f>
        <v>9.9601593625492347E-4</v>
      </c>
      <c r="J75" s="16">
        <f>(Processed_RentPrice_CN_HK__2[[#This Row],[Value]]-B63)/B63</f>
        <v>4.145077720207254E-2</v>
      </c>
      <c r="K75" s="7">
        <f>Processed_RentPrice_CN_HK__2[[#This Row],[Value]]/B74 * 100</f>
        <v>100.09960159362549</v>
      </c>
      <c r="L75" s="7">
        <f>Processed_RentPrice_CN_HK__2[[#This Row],[Value]]/B63 * 100</f>
        <v>104.14507772020724</v>
      </c>
      <c r="M75" s="7" cm="1">
        <f t="array" ref="M75">ROUND( Processed_RentPrice_CN_HK__2[[#This Row],[Value]] / AVERAGE( _xlfn._xlws.FILTER(Processed_RentPrice_CN_HK__2[Value], YEAR(Processed_RentPrice_CN_HK__2[Date])=2020) ), 3) * 100</f>
        <v>111.5</v>
      </c>
      <c r="N75" s="16" cm="1">
        <f t="array" ref="N75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9.960159362549792E-4</v>
      </c>
    </row>
    <row r="76" spans="1:14">
      <c r="A76" s="18">
        <f>rawData_RentPriceIndex_HK!A76</f>
        <v>46082</v>
      </c>
      <c r="B76" s="20">
        <f>rawData_RentPriceIndex_HK!B76</f>
        <v>202.2</v>
      </c>
      <c r="C76" t="s">
        <v>35</v>
      </c>
      <c r="D76" t="s">
        <v>22</v>
      </c>
      <c r="E76" s="8">
        <v>45839</v>
      </c>
      <c r="F76">
        <v>68.571428571428598</v>
      </c>
      <c r="G76">
        <v>196</v>
      </c>
      <c r="H76">
        <v>196.57142857142901</v>
      </c>
      <c r="I76" s="16">
        <f t="shared" si="3"/>
        <v>5.970149253731287E-3</v>
      </c>
      <c r="J76" s="16">
        <f>(Processed_RentPrice_CN_HK__2[[#This Row],[Value]]-B64)/B64</f>
        <v>4.7125841532884488E-2</v>
      </c>
      <c r="K76" s="7">
        <f>Processed_RentPrice_CN_HK__2[[#This Row],[Value]]/B75 * 100</f>
        <v>100.59701492537312</v>
      </c>
      <c r="L76" s="7">
        <f>Processed_RentPrice_CN_HK__2[[#This Row],[Value]]/B64 * 100</f>
        <v>104.71258415328846</v>
      </c>
      <c r="M76" s="7" cm="1">
        <f t="array" ref="M76">ROUND( Processed_RentPrice_CN_HK__2[[#This Row],[Value]] / AVERAGE( _xlfn._xlws.FILTER(Processed_RentPrice_CN_HK__2[Value], YEAR(Processed_RentPrice_CN_HK__2[Date])=2020) ), 3) * 100</f>
        <v>112.1</v>
      </c>
      <c r="N76" s="16" cm="1">
        <f t="array" ref="N76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6.9721115537848544E-3</v>
      </c>
    </row>
    <row r="77" spans="1:14">
      <c r="A77" s="18">
        <f>rawData_RentPriceIndex_HK!A77</f>
        <v>46113</v>
      </c>
      <c r="B77" s="20">
        <f>rawData_RentPriceIndex_HK!B77</f>
        <v>203.4</v>
      </c>
      <c r="C77" t="s">
        <v>35</v>
      </c>
      <c r="D77" t="s">
        <v>22</v>
      </c>
      <c r="E77" s="8">
        <v>45807</v>
      </c>
      <c r="F77">
        <v>68.857142857142904</v>
      </c>
      <c r="G77">
        <v>196</v>
      </c>
      <c r="H77">
        <v>196.857142857144</v>
      </c>
      <c r="I77" s="16">
        <f t="shared" ref="I77" si="4">(B77-B76)/B76</f>
        <v>5.9347181008902921E-3</v>
      </c>
      <c r="J77" s="16">
        <f>(Processed_RentPrice_CN_HK__2[[#This Row],[Value]]-B65)/B65</f>
        <v>4.899432697266632E-2</v>
      </c>
      <c r="K77" s="7">
        <f>Processed_RentPrice_CN_HK__2[[#This Row],[Value]]/B76 * 100</f>
        <v>100.59347181008901</v>
      </c>
      <c r="L77" s="7">
        <f>Processed_RentPrice_CN_HK__2[[#This Row],[Value]]/B65 * 100</f>
        <v>104.89943269726663</v>
      </c>
      <c r="M77" s="7" cm="1">
        <f t="array" ref="M77">ROUND( Processed_RentPrice_CN_HK__2[[#This Row],[Value]] / AVERAGE( _xlfn._xlws.FILTER(Processed_RentPrice_CN_HK__2[Value], YEAR(Processed_RentPrice_CN_HK__2[Date])=2020) ), 3) * 100</f>
        <v>112.79999999999998</v>
      </c>
      <c r="N77" s="16" cm="1">
        <f t="array" ref="N77" xml:space="preserve"> Processed_RentPrice_CN_HK__2[[#This Row],[Value]] / _xlfn.XLOOKUP(MIN(_xlfn._xlws.FILTER(Processed_RentPrice_CN_HK__2[Date], YEAR(Processed_RentPrice_CN_HK__2[Date])=YEAR(Processed_RentPrice_CN_HK__2[[#This Row],[Date]]))), Processed_RentPrice_CN_HK__2[Date], Processed_RentPrice_CN_HK__2[Value]) - 1</f>
        <v>1.294820717131473E-2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EF48-451F-8141-B290-384BA45A03F2}">
  <dimension ref="A1:N77"/>
  <sheetViews>
    <sheetView topLeftCell="A71" workbookViewId="0">
      <selection activeCell="J82" sqref="J82"/>
    </sheetView>
  </sheetViews>
  <sheetFormatPr defaultColWidth="10.78125" defaultRowHeight="27.5"/>
  <cols>
    <col min="1" max="1" width="9.4765625" bestFit="1" customWidth="1"/>
    <col min="2" max="2" width="7.0859375" bestFit="1" customWidth="1"/>
    <col min="3" max="3" width="8.34765625" hidden="1" customWidth="1"/>
    <col min="4" max="4" width="14.34765625" hidden="1" customWidth="1"/>
    <col min="5" max="5" width="28.6484375" hidden="1" customWidth="1"/>
    <col min="6" max="6" width="6.0859375" hidden="1" customWidth="1"/>
    <col min="7" max="7" width="17.4765625" hidden="1" customWidth="1"/>
    <col min="8" max="8" width="15.4765625" hidden="1" customWidth="1"/>
    <col min="9" max="10" width="7.2578125" style="16" bestFit="1" customWidth="1"/>
    <col min="11" max="11" width="10.390625" style="7" bestFit="1" customWidth="1"/>
    <col min="12" max="12" width="14.171875" style="7" bestFit="1" customWidth="1"/>
    <col min="13" max="13" width="17.60546875" customWidth="1"/>
    <col min="14" max="14" width="10.78125" style="16"/>
  </cols>
  <sheetData>
    <row r="1" spans="1:14">
      <c r="A1" t="s">
        <v>14</v>
      </c>
      <c r="B1" t="s">
        <v>16</v>
      </c>
      <c r="C1" t="s">
        <v>20</v>
      </c>
      <c r="D1" t="s">
        <v>18</v>
      </c>
      <c r="E1" t="s">
        <v>26</v>
      </c>
      <c r="F1" t="s">
        <v>29</v>
      </c>
      <c r="G1" t="s">
        <v>30</v>
      </c>
      <c r="H1" t="s">
        <v>31</v>
      </c>
      <c r="I1" s="16" t="s">
        <v>32</v>
      </c>
      <c r="J1" s="16" t="s">
        <v>33</v>
      </c>
      <c r="K1" s="7" t="s">
        <v>0</v>
      </c>
      <c r="L1" s="7" t="s">
        <v>1</v>
      </c>
      <c r="M1" t="s">
        <v>40</v>
      </c>
      <c r="N1" s="16" t="s">
        <v>34</v>
      </c>
    </row>
    <row r="2" spans="1:14">
      <c r="A2" s="8">
        <f>rawData_RentPriceIndex_US!A2</f>
        <v>43831</v>
      </c>
      <c r="B2">
        <f>rawData_RentPriceIndex_US!B2</f>
        <v>467.14499999999998</v>
      </c>
      <c r="C2" t="s">
        <v>35</v>
      </c>
      <c r="D2" t="s">
        <v>22</v>
      </c>
      <c r="E2" s="8">
        <v>43831</v>
      </c>
      <c r="F2">
        <v>0</v>
      </c>
      <c r="M2" cm="1">
        <f t="array" ref="M2">ROUND( Processed_RentPrice_US_CA__2[[#This Row],[Value]] / AVERAGE( _xlfn._xlws.FILTER(Processed_RentPrice_US_CA__2[Value], YEAR(Processed_RentPrice_US_CA__2[Date])=2020) ), 3) * 100</f>
        <v>100</v>
      </c>
      <c r="N2" s="16" cm="1">
        <f t="array" ref="N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3" spans="1:14">
      <c r="A3" s="8">
        <f>rawData_RentPriceIndex_US!A3</f>
        <v>43862</v>
      </c>
      <c r="B3">
        <f>rawData_RentPriceIndex_US!B3</f>
        <v>469.06200000000001</v>
      </c>
      <c r="C3" t="s">
        <v>35</v>
      </c>
      <c r="D3" t="s">
        <v>22</v>
      </c>
      <c r="E3" s="8">
        <v>43862</v>
      </c>
      <c r="F3">
        <v>1</v>
      </c>
      <c r="G3">
        <v>467</v>
      </c>
      <c r="I3" s="16">
        <f>(B3-B2)/B2</f>
        <v>4.103650900684006E-3</v>
      </c>
      <c r="K3" s="7">
        <f>Processed_RentPrice_US_CA__2[[#This Row],[Value]]/B2 * 100</f>
        <v>100.4103650900684</v>
      </c>
      <c r="M3" cm="1">
        <f t="array" ref="M3">ROUND( Processed_RentPrice_US_CA__2[[#This Row],[Value]] / AVERAGE( _xlfn._xlws.FILTER(Processed_RentPrice_US_CA__2[Value], YEAR(Processed_RentPrice_US_CA__2[Date])=2020) ), 3) * 100</f>
        <v>100.4</v>
      </c>
      <c r="N3" s="16" cm="1">
        <f t="array" ref="N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4.1036509006839861E-3</v>
      </c>
    </row>
    <row r="4" spans="1:14">
      <c r="A4" s="8">
        <f>rawData_RentPriceIndex_US!A4</f>
        <v>43891</v>
      </c>
      <c r="B4">
        <f>rawData_RentPriceIndex_US!B4</f>
        <v>469.87799999999999</v>
      </c>
      <c r="C4" t="s">
        <v>35</v>
      </c>
      <c r="D4" t="s">
        <v>22</v>
      </c>
      <c r="E4" s="8">
        <v>43891</v>
      </c>
      <c r="F4">
        <v>2</v>
      </c>
      <c r="G4">
        <v>469</v>
      </c>
      <c r="I4" s="16">
        <f t="shared" ref="I4:I67" si="0">(B4-B3)/B3</f>
        <v>1.7396420942220306E-3</v>
      </c>
      <c r="K4" s="7">
        <f>Processed_RentPrice_US_CA__2[[#This Row],[Value]]/B3 * 100</f>
        <v>100.17396420942219</v>
      </c>
      <c r="M4" cm="1">
        <f t="array" ref="M4">ROUND( Processed_RentPrice_US_CA__2[[#This Row],[Value]] / AVERAGE( _xlfn._xlws.FILTER(Processed_RentPrice_US_CA__2[Value], YEAR(Processed_RentPrice_US_CA__2[Date])=2020) ), 3) * 100</f>
        <v>100.6</v>
      </c>
      <c r="N4" s="16" cm="1">
        <f t="array" ref="N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5.8504318787528931E-3</v>
      </c>
    </row>
    <row r="5" spans="1:14">
      <c r="A5" s="8">
        <f>rawData_RentPriceIndex_US!A5</f>
        <v>43922</v>
      </c>
      <c r="B5">
        <f>rawData_RentPriceIndex_US!B5</f>
        <v>466.19600000000003</v>
      </c>
      <c r="C5" t="s">
        <v>35</v>
      </c>
      <c r="D5" t="s">
        <v>22</v>
      </c>
      <c r="E5" s="8">
        <v>43922</v>
      </c>
      <c r="F5">
        <v>3</v>
      </c>
      <c r="G5">
        <v>470</v>
      </c>
      <c r="I5" s="16">
        <f t="shared" si="0"/>
        <v>-7.8360765986063615E-3</v>
      </c>
      <c r="K5" s="7">
        <f>Processed_RentPrice_US_CA__2[[#This Row],[Value]]/B4 * 100</f>
        <v>99.216392340139365</v>
      </c>
      <c r="M5" cm="1">
        <f t="array" ref="M5">ROUND( Processed_RentPrice_US_CA__2[[#This Row],[Value]] / AVERAGE( _xlfn._xlws.FILTER(Processed_RentPrice_US_CA__2[Value], YEAR(Processed_RentPrice_US_CA__2[Date])=2020) ), 3) * 100</f>
        <v>99.8</v>
      </c>
      <c r="N5" s="16" cm="1">
        <f t="array" ref="N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-2.0314891521903133E-3</v>
      </c>
    </row>
    <row r="6" spans="1:14">
      <c r="A6" s="8">
        <f>rawData_RentPriceIndex_US!A6</f>
        <v>43952</v>
      </c>
      <c r="B6">
        <f>rawData_RentPriceIndex_US!B6</f>
        <v>464.779</v>
      </c>
      <c r="C6" t="s">
        <v>35</v>
      </c>
      <c r="D6" t="s">
        <v>22</v>
      </c>
      <c r="E6" s="8">
        <v>43952</v>
      </c>
      <c r="F6">
        <v>4</v>
      </c>
      <c r="G6">
        <v>466</v>
      </c>
      <c r="I6" s="16">
        <f t="shared" si="0"/>
        <v>-3.0394941183537181E-3</v>
      </c>
      <c r="K6" s="7">
        <f>Processed_RentPrice_US_CA__2[[#This Row],[Value]]/B5 * 100</f>
        <v>99.696050588164624</v>
      </c>
      <c r="M6" cm="1">
        <f t="array" ref="M6">ROUND( Processed_RentPrice_US_CA__2[[#This Row],[Value]] / AVERAGE( _xlfn._xlws.FILTER(Processed_RentPrice_US_CA__2[Value], YEAR(Processed_RentPrice_US_CA__2[Date])=2020) ), 3) * 100</f>
        <v>99.5</v>
      </c>
      <c r="N6" s="16" cm="1">
        <f t="array" ref="N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-5.0648085712144963E-3</v>
      </c>
    </row>
    <row r="7" spans="1:14">
      <c r="A7" s="8">
        <f>rawData_RentPriceIndex_US!A7</f>
        <v>43983</v>
      </c>
      <c r="B7">
        <f>rawData_RentPriceIndex_US!B7</f>
        <v>463.70400000000001</v>
      </c>
      <c r="C7" t="s">
        <v>35</v>
      </c>
      <c r="D7" t="s">
        <v>22</v>
      </c>
      <c r="E7" s="8">
        <v>43983</v>
      </c>
      <c r="F7">
        <v>5</v>
      </c>
      <c r="G7">
        <v>465</v>
      </c>
      <c r="I7" s="16">
        <f t="shared" si="0"/>
        <v>-2.3129272191729586E-3</v>
      </c>
      <c r="K7" s="7">
        <f>Processed_RentPrice_US_CA__2[[#This Row],[Value]]/B6 * 100</f>
        <v>99.768707278082701</v>
      </c>
      <c r="M7" cm="1">
        <f t="array" ref="M7">ROUND( Processed_RentPrice_US_CA__2[[#This Row],[Value]] / AVERAGE( _xlfn._xlws.FILTER(Processed_RentPrice_US_CA__2[Value], YEAR(Processed_RentPrice_US_CA__2[Date])=2020) ), 3) * 100</f>
        <v>99.3</v>
      </c>
      <c r="N7" s="16" cm="1">
        <f t="array" ref="N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-7.3660212567832062E-3</v>
      </c>
    </row>
    <row r="8" spans="1:14">
      <c r="A8" s="8">
        <f>rawData_RentPriceIndex_US!A8</f>
        <v>44013</v>
      </c>
      <c r="B8">
        <f>rawData_RentPriceIndex_US!B8</f>
        <v>465.09100000000001</v>
      </c>
      <c r="C8" t="s">
        <v>35</v>
      </c>
      <c r="D8" t="s">
        <v>22</v>
      </c>
      <c r="E8" s="8">
        <v>44013</v>
      </c>
      <c r="F8">
        <v>6</v>
      </c>
      <c r="G8">
        <v>464</v>
      </c>
      <c r="I8" s="16">
        <f t="shared" si="0"/>
        <v>2.9911322740368866E-3</v>
      </c>
      <c r="K8" s="7">
        <f>Processed_RentPrice_US_CA__2[[#This Row],[Value]]/B7 * 100</f>
        <v>100.29911322740368</v>
      </c>
      <c r="M8" cm="1">
        <f t="array" ref="M8">ROUND( Processed_RentPrice_US_CA__2[[#This Row],[Value]] / AVERAGE( _xlfn._xlws.FILTER(Processed_RentPrice_US_CA__2[Value], YEAR(Processed_RentPrice_US_CA__2[Date])=2020) ), 3) * 100</f>
        <v>99.6</v>
      </c>
      <c r="N8" s="16" cm="1">
        <f t="array" ref="N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-4.3969217266587313E-3</v>
      </c>
    </row>
    <row r="9" spans="1:14">
      <c r="A9" s="8">
        <f>rawData_RentPriceIndex_US!A9</f>
        <v>44044</v>
      </c>
      <c r="B9">
        <f>rawData_RentPriceIndex_US!B9</f>
        <v>465.71300000000002</v>
      </c>
      <c r="C9" t="s">
        <v>35</v>
      </c>
      <c r="D9" t="s">
        <v>22</v>
      </c>
      <c r="E9" s="8">
        <v>44044</v>
      </c>
      <c r="F9">
        <v>7</v>
      </c>
      <c r="G9">
        <v>465</v>
      </c>
      <c r="I9" s="16">
        <f t="shared" si="0"/>
        <v>1.3373726862055256E-3</v>
      </c>
      <c r="K9" s="7">
        <f>Processed_RentPrice_US_CA__2[[#This Row],[Value]]/B8 * 100</f>
        <v>100.13373726862056</v>
      </c>
      <c r="M9" cm="1">
        <f t="array" ref="M9">ROUND( Processed_RentPrice_US_CA__2[[#This Row],[Value]] / AVERAGE( _xlfn._xlws.FILTER(Processed_RentPrice_US_CA__2[Value], YEAR(Processed_RentPrice_US_CA__2[Date])=2020) ), 3) * 100</f>
        <v>99.7</v>
      </c>
      <c r="N9" s="16" cm="1">
        <f t="array" ref="N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-3.0654293634737595E-3</v>
      </c>
    </row>
    <row r="10" spans="1:14">
      <c r="A10" s="8">
        <f>rawData_RentPriceIndex_US!A10</f>
        <v>44075</v>
      </c>
      <c r="B10">
        <f>rawData_RentPriceIndex_US!B10</f>
        <v>466.18200000000002</v>
      </c>
      <c r="C10" t="s">
        <v>35</v>
      </c>
      <c r="D10" t="s">
        <v>22</v>
      </c>
      <c r="E10" s="8">
        <v>44075</v>
      </c>
      <c r="F10">
        <v>8</v>
      </c>
      <c r="G10">
        <v>466</v>
      </c>
      <c r="I10" s="16">
        <f t="shared" si="0"/>
        <v>1.007057994945372E-3</v>
      </c>
      <c r="K10" s="7">
        <f>Processed_RentPrice_US_CA__2[[#This Row],[Value]]/B9 * 100</f>
        <v>100.10070579949453</v>
      </c>
      <c r="M10" cm="1">
        <f t="array" ref="M10">ROUND( Processed_RentPrice_US_CA__2[[#This Row],[Value]] / AVERAGE( _xlfn._xlws.FILTER(Processed_RentPrice_US_CA__2[Value], YEAR(Processed_RentPrice_US_CA__2[Date])=2020) ), 3) * 100</f>
        <v>99.8</v>
      </c>
      <c r="N10" s="16" cm="1">
        <f t="array" ref="N1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-2.0614584336768882E-3</v>
      </c>
    </row>
    <row r="11" spans="1:14">
      <c r="A11" s="8">
        <f>rawData_RentPriceIndex_US!A11</f>
        <v>44105</v>
      </c>
      <c r="B11">
        <f>rawData_RentPriceIndex_US!B11</f>
        <v>468.72500000000002</v>
      </c>
      <c r="C11" t="s">
        <v>35</v>
      </c>
      <c r="D11" t="s">
        <v>22</v>
      </c>
      <c r="E11" s="8">
        <v>44105</v>
      </c>
      <c r="F11">
        <v>9</v>
      </c>
      <c r="G11">
        <v>466</v>
      </c>
      <c r="I11" s="16">
        <f t="shared" si="0"/>
        <v>5.4549510706119204E-3</v>
      </c>
      <c r="K11" s="7">
        <f>Processed_RentPrice_US_CA__2[[#This Row],[Value]]/B10 * 100</f>
        <v>100.54549510706119</v>
      </c>
      <c r="M11" cm="1">
        <f t="array" ref="M11">ROUND( Processed_RentPrice_US_CA__2[[#This Row],[Value]] / AVERAGE( _xlfn._xlws.FILTER(Processed_RentPrice_US_CA__2[Value], YEAR(Processed_RentPrice_US_CA__2[Date])=2020) ), 3) * 100</f>
        <v>100.4</v>
      </c>
      <c r="N11" s="16" cm="1">
        <f t="array" ref="N1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3.3822474820452975E-3</v>
      </c>
    </row>
    <row r="12" spans="1:14">
      <c r="A12" s="8">
        <f>rawData_RentPriceIndex_US!A12</f>
        <v>44136</v>
      </c>
      <c r="B12">
        <f>rawData_RentPriceIndex_US!B12</f>
        <v>469.137</v>
      </c>
      <c r="C12" t="s">
        <v>35</v>
      </c>
      <c r="D12" t="s">
        <v>22</v>
      </c>
      <c r="E12" s="8">
        <v>44136</v>
      </c>
      <c r="F12">
        <v>10</v>
      </c>
      <c r="G12">
        <v>469</v>
      </c>
      <c r="I12" s="16">
        <f t="shared" si="0"/>
        <v>8.7898021227794058E-4</v>
      </c>
      <c r="K12" s="7">
        <f>Processed_RentPrice_US_CA__2[[#This Row],[Value]]/B11 * 100</f>
        <v>100.0878980212278</v>
      </c>
      <c r="M12" cm="1">
        <f t="array" ref="M12">ROUND( Processed_RentPrice_US_CA__2[[#This Row],[Value]] / AVERAGE( _xlfn._xlws.FILTER(Processed_RentPrice_US_CA__2[Value], YEAR(Processed_RentPrice_US_CA__2[Date])=2020) ), 3) * 100</f>
        <v>100.4</v>
      </c>
      <c r="N12" s="16" cm="1">
        <f t="array" ref="N1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4.2642006229329787E-3</v>
      </c>
    </row>
    <row r="13" spans="1:14">
      <c r="A13" s="8">
        <f>rawData_RentPriceIndex_US!A13</f>
        <v>44166</v>
      </c>
      <c r="B13">
        <f>rawData_RentPriceIndex_US!B13</f>
        <v>468.851</v>
      </c>
      <c r="C13" t="s">
        <v>35</v>
      </c>
      <c r="D13" t="s">
        <v>22</v>
      </c>
      <c r="E13" s="8">
        <v>44166</v>
      </c>
      <c r="F13">
        <v>11</v>
      </c>
      <c r="G13">
        <v>469</v>
      </c>
      <c r="I13" s="16">
        <f t="shared" si="0"/>
        <v>-6.0963002278652365E-4</v>
      </c>
      <c r="K13" s="7">
        <f>Processed_RentPrice_US_CA__2[[#This Row],[Value]]/B12 * 100</f>
        <v>99.939036997721345</v>
      </c>
      <c r="M13" cm="1">
        <f t="array" ref="M13">ROUND( Processed_RentPrice_US_CA__2[[#This Row],[Value]] / AVERAGE( _xlfn._xlws.FILTER(Processed_RentPrice_US_CA__2[Value], YEAR(Processed_RentPrice_US_CA__2[Date])=2020) ), 3) * 100</f>
        <v>100.4</v>
      </c>
      <c r="N13" s="16" cm="1">
        <f t="array" ref="N1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3.6519710154234719E-3</v>
      </c>
    </row>
    <row r="14" spans="1:14">
      <c r="A14" s="8">
        <f>rawData_RentPriceIndex_US!A14</f>
        <v>44197</v>
      </c>
      <c r="B14">
        <f>rawData_RentPriceIndex_US!B14</f>
        <v>467.94200000000001</v>
      </c>
      <c r="C14" t="s">
        <v>35</v>
      </c>
      <c r="D14" t="s">
        <v>22</v>
      </c>
      <c r="E14" s="8">
        <v>44197</v>
      </c>
      <c r="F14">
        <v>12</v>
      </c>
      <c r="G14">
        <v>469</v>
      </c>
      <c r="H14">
        <v>467</v>
      </c>
      <c r="I14" s="16">
        <f t="shared" si="0"/>
        <v>-1.9387822570496637E-3</v>
      </c>
      <c r="J14" s="16">
        <f>(Processed_RentPrice_US_CA__2[[#This Row],[Value]]-B2)/B2</f>
        <v>1.7061083817658874E-3</v>
      </c>
      <c r="K14" s="7">
        <f>Processed_RentPrice_US_CA__2[[#This Row],[Value]]/B13 * 100</f>
        <v>99.806121774295036</v>
      </c>
      <c r="L14" s="7">
        <f>Processed_RentPrice_US_CA__2[[#This Row],[Value]]/B2 * 100</f>
        <v>100.1706108381766</v>
      </c>
      <c r="M14" cm="1">
        <f t="array" ref="M14">ROUND( Processed_RentPrice_US_CA__2[[#This Row],[Value]] / AVERAGE( _xlfn._xlws.FILTER(Processed_RentPrice_US_CA__2[Value], YEAR(Processed_RentPrice_US_CA__2[Date])=2020) ), 3) * 100</f>
        <v>100.2</v>
      </c>
      <c r="N14" s="16" cm="1">
        <f t="array" ref="N1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15" spans="1:14">
      <c r="A15" s="8">
        <f>rawData_RentPriceIndex_US!A15</f>
        <v>44228</v>
      </c>
      <c r="B15">
        <f>rawData_RentPriceIndex_US!B15</f>
        <v>468.80700000000002</v>
      </c>
      <c r="C15" t="s">
        <v>35</v>
      </c>
      <c r="D15" t="s">
        <v>22</v>
      </c>
      <c r="E15" s="8">
        <v>44228</v>
      </c>
      <c r="F15">
        <v>13</v>
      </c>
      <c r="G15">
        <v>468</v>
      </c>
      <c r="H15">
        <v>469</v>
      </c>
      <c r="I15" s="16">
        <f t="shared" si="0"/>
        <v>1.8485196883374628E-3</v>
      </c>
      <c r="J15" s="16">
        <f>(Processed_RentPrice_US_CA__2[[#This Row],[Value]]-B3)/B3</f>
        <v>-5.436381544443921E-4</v>
      </c>
      <c r="K15" s="7">
        <f>Processed_RentPrice_US_CA__2[[#This Row],[Value]]/B14 * 100</f>
        <v>100.18485196883375</v>
      </c>
      <c r="L15" s="7">
        <f>Processed_RentPrice_US_CA__2[[#This Row],[Value]]/B3 * 100</f>
        <v>99.945636184555568</v>
      </c>
      <c r="M15" cm="1">
        <f t="array" ref="M15">ROUND( Processed_RentPrice_US_CA__2[[#This Row],[Value]] / AVERAGE( _xlfn._xlws.FILTER(Processed_RentPrice_US_CA__2[Value], YEAR(Processed_RentPrice_US_CA__2[Date])=2020) ), 3) * 100</f>
        <v>100.4</v>
      </c>
      <c r="N15" s="16" cm="1">
        <f t="array" ref="N1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1.8485196883375465E-3</v>
      </c>
    </row>
    <row r="16" spans="1:14">
      <c r="A16" s="8">
        <f>rawData_RentPriceIndex_US!A16</f>
        <v>44256</v>
      </c>
      <c r="B16">
        <f>rawData_RentPriceIndex_US!B16</f>
        <v>468.23099999999999</v>
      </c>
      <c r="C16" t="s">
        <v>35</v>
      </c>
      <c r="D16" t="s">
        <v>22</v>
      </c>
      <c r="E16" s="8">
        <v>44256</v>
      </c>
      <c r="F16">
        <v>14</v>
      </c>
      <c r="G16">
        <v>469</v>
      </c>
      <c r="H16">
        <v>470</v>
      </c>
      <c r="I16" s="16">
        <f t="shared" si="0"/>
        <v>-1.2286505960875623E-3</v>
      </c>
      <c r="J16" s="16">
        <f>(Processed_RentPrice_US_CA__2[[#This Row],[Value]]-B4)/B4</f>
        <v>-3.5051651705336096E-3</v>
      </c>
      <c r="K16" s="7">
        <f>Processed_RentPrice_US_CA__2[[#This Row],[Value]]/B15 * 100</f>
        <v>99.877134940391244</v>
      </c>
      <c r="L16" s="7">
        <f>Processed_RentPrice_US_CA__2[[#This Row],[Value]]/B4 * 100</f>
        <v>99.64948348294665</v>
      </c>
      <c r="M16" cm="1">
        <f t="array" ref="M16">ROUND( Processed_RentPrice_US_CA__2[[#This Row],[Value]] / AVERAGE( _xlfn._xlws.FILTER(Processed_RentPrice_US_CA__2[Value], YEAR(Processed_RentPrice_US_CA__2[Date])=2020) ), 3) * 100</f>
        <v>100.29999999999998</v>
      </c>
      <c r="N16" s="16" cm="1">
        <f t="array" ref="N1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6.1759790743298737E-4</v>
      </c>
    </row>
    <row r="17" spans="1:14">
      <c r="A17" s="8">
        <f>rawData_RentPriceIndex_US!A17</f>
        <v>44287</v>
      </c>
      <c r="B17">
        <f>rawData_RentPriceIndex_US!B17</f>
        <v>467.75799999999998</v>
      </c>
      <c r="C17" t="s">
        <v>35</v>
      </c>
      <c r="D17" t="s">
        <v>22</v>
      </c>
      <c r="E17" s="8">
        <v>44287</v>
      </c>
      <c r="F17">
        <v>15</v>
      </c>
      <c r="G17">
        <v>468</v>
      </c>
      <c r="H17">
        <v>466</v>
      </c>
      <c r="I17" s="16">
        <f t="shared" si="0"/>
        <v>-1.0101851436577526E-3</v>
      </c>
      <c r="J17" s="16">
        <f>(Processed_RentPrice_US_CA__2[[#This Row],[Value]]-B5)/B5</f>
        <v>3.3505220980016019E-3</v>
      </c>
      <c r="K17" s="7">
        <f>Processed_RentPrice_US_CA__2[[#This Row],[Value]]/B16 * 100</f>
        <v>99.898981485634224</v>
      </c>
      <c r="L17" s="7">
        <f>Processed_RentPrice_US_CA__2[[#This Row],[Value]]/B5 * 100</f>
        <v>100.33505220980017</v>
      </c>
      <c r="M17" cm="1">
        <f t="array" ref="M17">ROUND( Processed_RentPrice_US_CA__2[[#This Row],[Value]] / AVERAGE( _xlfn._xlws.FILTER(Processed_RentPrice_US_CA__2[Value], YEAR(Processed_RentPrice_US_CA__2[Date])=2020) ), 3) * 100</f>
        <v>100.2</v>
      </c>
      <c r="N17" s="16" cm="1">
        <f t="array" ref="N1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-3.9321112445567241E-4</v>
      </c>
    </row>
    <row r="18" spans="1:14">
      <c r="A18" s="8">
        <f>rawData_RentPriceIndex_US!A18</f>
        <v>44317</v>
      </c>
      <c r="B18">
        <f>rawData_RentPriceIndex_US!B18</f>
        <v>467.26100000000002</v>
      </c>
      <c r="C18" t="s">
        <v>35</v>
      </c>
      <c r="D18" t="s">
        <v>22</v>
      </c>
      <c r="E18" s="8">
        <v>44317</v>
      </c>
      <c r="F18">
        <v>16</v>
      </c>
      <c r="G18">
        <v>468</v>
      </c>
      <c r="H18">
        <v>465</v>
      </c>
      <c r="I18" s="16">
        <f t="shared" si="0"/>
        <v>-1.0625152322353809E-3</v>
      </c>
      <c r="J18" s="16">
        <f>(Processed_RentPrice_US_CA__2[[#This Row],[Value]]-B6)/B6</f>
        <v>5.3401724260347984E-3</v>
      </c>
      <c r="K18" s="7">
        <f>Processed_RentPrice_US_CA__2[[#This Row],[Value]]/B17 * 100</f>
        <v>99.893748476776466</v>
      </c>
      <c r="L18" s="7">
        <f>Processed_RentPrice_US_CA__2[[#This Row],[Value]]/B6 * 100</f>
        <v>100.5340172426035</v>
      </c>
      <c r="M18" cm="1">
        <f t="array" ref="M18">ROUND( Processed_RentPrice_US_CA__2[[#This Row],[Value]] / AVERAGE( _xlfn._xlws.FILTER(Processed_RentPrice_US_CA__2[Value], YEAR(Processed_RentPrice_US_CA__2[Date])=2020) ), 3) * 100</f>
        <v>100</v>
      </c>
      <c r="N18" s="16" cm="1">
        <f t="array" ref="N1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-1.4553085638817631E-3</v>
      </c>
    </row>
    <row r="19" spans="1:14">
      <c r="A19" s="8">
        <f>rawData_RentPriceIndex_US!A19</f>
        <v>44348</v>
      </c>
      <c r="B19">
        <f>rawData_RentPriceIndex_US!B19</f>
        <v>466.65100000000001</v>
      </c>
      <c r="C19" t="s">
        <v>35</v>
      </c>
      <c r="D19" t="s">
        <v>22</v>
      </c>
      <c r="E19" s="8">
        <v>44348</v>
      </c>
      <c r="F19">
        <v>17</v>
      </c>
      <c r="G19">
        <v>467</v>
      </c>
      <c r="H19">
        <v>464</v>
      </c>
      <c r="I19" s="16">
        <f t="shared" si="0"/>
        <v>-1.3054802348152609E-3</v>
      </c>
      <c r="J19" s="16">
        <f>(Processed_RentPrice_US_CA__2[[#This Row],[Value]]-B7)/B7</f>
        <v>6.3553473767748447E-3</v>
      </c>
      <c r="K19" s="7">
        <f>Processed_RentPrice_US_CA__2[[#This Row],[Value]]/B18 * 100</f>
        <v>99.869451976518476</v>
      </c>
      <c r="L19" s="7">
        <f>Processed_RentPrice_US_CA__2[[#This Row],[Value]]/B7 * 100</f>
        <v>100.63553473767747</v>
      </c>
      <c r="M19" cm="1">
        <f t="array" ref="M19">ROUND( Processed_RentPrice_US_CA__2[[#This Row],[Value]] / AVERAGE( _xlfn._xlws.FILTER(Processed_RentPrice_US_CA__2[Value], YEAR(Processed_RentPrice_US_CA__2[Date])=2020) ), 3) * 100</f>
        <v>99.9</v>
      </c>
      <c r="N19" s="16" cm="1">
        <f t="array" ref="N1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-2.7588889221313861E-3</v>
      </c>
    </row>
    <row r="20" spans="1:14">
      <c r="A20" s="8">
        <f>rawData_RentPriceIndex_US!A20</f>
        <v>44378</v>
      </c>
      <c r="B20">
        <f>rawData_RentPriceIndex_US!B20</f>
        <v>467.71199999999999</v>
      </c>
      <c r="C20" t="s">
        <v>35</v>
      </c>
      <c r="D20" t="s">
        <v>22</v>
      </c>
      <c r="E20" s="8">
        <v>44378</v>
      </c>
      <c r="F20">
        <v>18</v>
      </c>
      <c r="G20">
        <v>467</v>
      </c>
      <c r="H20">
        <v>465</v>
      </c>
      <c r="I20" s="16">
        <f t="shared" si="0"/>
        <v>2.2736477581746929E-3</v>
      </c>
      <c r="J20" s="16">
        <f>(Processed_RentPrice_US_CA__2[[#This Row],[Value]]-B8)/B8</f>
        <v>5.6354562870491601E-3</v>
      </c>
      <c r="K20" s="7">
        <f>Processed_RentPrice_US_CA__2[[#This Row],[Value]]/B19 * 100</f>
        <v>100.22736477581746</v>
      </c>
      <c r="L20" s="7">
        <f>Processed_RentPrice_US_CA__2[[#This Row],[Value]]/B8 * 100</f>
        <v>100.56354562870492</v>
      </c>
      <c r="M20" cm="1">
        <f t="array" ref="M20">ROUND( Processed_RentPrice_US_CA__2[[#This Row],[Value]] / AVERAGE( _xlfn._xlws.FILTER(Processed_RentPrice_US_CA__2[Value], YEAR(Processed_RentPrice_US_CA__2[Date])=2020) ), 3) * 100</f>
        <v>100.1</v>
      </c>
      <c r="N20" s="16" cm="1">
        <f t="array" ref="N2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-4.9151390556956276E-4</v>
      </c>
    </row>
    <row r="21" spans="1:14">
      <c r="A21" s="8">
        <f>rawData_RentPriceIndex_US!A21</f>
        <v>44409</v>
      </c>
      <c r="B21">
        <f>rawData_RentPriceIndex_US!B21</f>
        <v>467.584</v>
      </c>
      <c r="C21" t="s">
        <v>35</v>
      </c>
      <c r="D21" t="s">
        <v>22</v>
      </c>
      <c r="E21" s="8">
        <v>44409</v>
      </c>
      <c r="F21">
        <v>19</v>
      </c>
      <c r="G21">
        <v>468</v>
      </c>
      <c r="H21">
        <v>466</v>
      </c>
      <c r="I21" s="16">
        <f t="shared" si="0"/>
        <v>-2.7367268746576078E-4</v>
      </c>
      <c r="J21" s="16">
        <f>(Processed_RentPrice_US_CA__2[[#This Row],[Value]]-B9)/B9</f>
        <v>4.0174957538225923E-3</v>
      </c>
      <c r="K21" s="7">
        <f>Processed_RentPrice_US_CA__2[[#This Row],[Value]]/B20 * 100</f>
        <v>99.972632731253412</v>
      </c>
      <c r="L21" s="7">
        <f>Processed_RentPrice_US_CA__2[[#This Row],[Value]]/B9 * 100</f>
        <v>100.40174957538225</v>
      </c>
      <c r="M21" cm="1">
        <f t="array" ref="M21">ROUND( Processed_RentPrice_US_CA__2[[#This Row],[Value]] / AVERAGE( _xlfn._xlws.FILTER(Processed_RentPrice_US_CA__2[Value], YEAR(Processed_RentPrice_US_CA__2[Date])=2020) ), 3) * 100</f>
        <v>100.1</v>
      </c>
      <c r="N21" s="16" cm="1">
        <f t="array" ref="N2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-7.6505207910382289E-4</v>
      </c>
    </row>
    <row r="22" spans="1:14">
      <c r="A22" s="8">
        <f>rawData_RentPriceIndex_US!A22</f>
        <v>44440</v>
      </c>
      <c r="B22">
        <f>rawData_RentPriceIndex_US!B22</f>
        <v>466.85500000000002</v>
      </c>
      <c r="C22" t="s">
        <v>35</v>
      </c>
      <c r="D22" t="s">
        <v>22</v>
      </c>
      <c r="E22" s="8">
        <v>44440</v>
      </c>
      <c r="F22">
        <v>20</v>
      </c>
      <c r="G22">
        <v>468</v>
      </c>
      <c r="H22">
        <v>466</v>
      </c>
      <c r="I22" s="16">
        <f t="shared" si="0"/>
        <v>-1.5590781549411122E-3</v>
      </c>
      <c r="J22" s="16">
        <f>(Processed_RentPrice_US_CA__2[[#This Row],[Value]]-B10)/B10</f>
        <v>1.4436421826668593E-3</v>
      </c>
      <c r="K22" s="7">
        <f>Processed_RentPrice_US_CA__2[[#This Row],[Value]]/B21 * 100</f>
        <v>99.844092184505882</v>
      </c>
      <c r="L22" s="7">
        <f>Processed_RentPrice_US_CA__2[[#This Row],[Value]]/B10 * 100</f>
        <v>100.14436421826669</v>
      </c>
      <c r="M22" cm="1">
        <f t="array" ref="M22">ROUND( Processed_RentPrice_US_CA__2[[#This Row],[Value]] / AVERAGE( _xlfn._xlws.FILTER(Processed_RentPrice_US_CA__2[Value], YEAR(Processed_RentPrice_US_CA__2[Date])=2020) ), 3) * 100</f>
        <v>100</v>
      </c>
      <c r="N22" s="16" cm="1">
        <f t="array" ref="N2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-2.3229374580610029E-3</v>
      </c>
    </row>
    <row r="23" spans="1:14">
      <c r="A23" s="8">
        <f>rawData_RentPriceIndex_US!A23</f>
        <v>44470</v>
      </c>
      <c r="B23">
        <f>rawData_RentPriceIndex_US!B23</f>
        <v>467.01400000000001</v>
      </c>
      <c r="C23" t="s">
        <v>35</v>
      </c>
      <c r="D23" t="s">
        <v>22</v>
      </c>
      <c r="E23" s="8">
        <v>44470</v>
      </c>
      <c r="F23">
        <v>21</v>
      </c>
      <c r="G23">
        <v>467</v>
      </c>
      <c r="H23">
        <v>469</v>
      </c>
      <c r="I23" s="16">
        <f t="shared" si="0"/>
        <v>3.405768386329627E-4</v>
      </c>
      <c r="J23" s="16">
        <f>(Processed_RentPrice_US_CA__2[[#This Row],[Value]]-B11)/B11</f>
        <v>-3.6503280174942933E-3</v>
      </c>
      <c r="K23" s="7">
        <f>Processed_RentPrice_US_CA__2[[#This Row],[Value]]/B22 * 100</f>
        <v>100.03405768386328</v>
      </c>
      <c r="L23" s="7">
        <f>Processed_RentPrice_US_CA__2[[#This Row],[Value]]/B11 * 100</f>
        <v>99.634967198250564</v>
      </c>
      <c r="M23" cm="1">
        <f t="array" ref="M23">ROUND( Processed_RentPrice_US_CA__2[[#This Row],[Value]] / AVERAGE( _xlfn._xlws.FILTER(Processed_RentPrice_US_CA__2[Value], YEAR(Processed_RentPrice_US_CA__2[Date])=2020) ), 3) * 100</f>
        <v>100</v>
      </c>
      <c r="N23" s="16" cm="1">
        <f t="array" ref="N2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-1.9831517581239133E-3</v>
      </c>
    </row>
    <row r="24" spans="1:14">
      <c r="A24" s="8">
        <f>rawData_RentPriceIndex_US!A24</f>
        <v>44501</v>
      </c>
      <c r="B24">
        <f>rawData_RentPriceIndex_US!B24</f>
        <v>466.90600000000001</v>
      </c>
      <c r="C24" t="s">
        <v>35</v>
      </c>
      <c r="D24" t="s">
        <v>22</v>
      </c>
      <c r="E24" s="8">
        <v>44501</v>
      </c>
      <c r="F24">
        <v>22</v>
      </c>
      <c r="G24">
        <v>467</v>
      </c>
      <c r="H24">
        <v>469</v>
      </c>
      <c r="I24" s="16">
        <f t="shared" si="0"/>
        <v>-2.3125645055609487E-4</v>
      </c>
      <c r="J24" s="16">
        <f>(Processed_RentPrice_US_CA__2[[#This Row],[Value]]-B12)/B12</f>
        <v>-4.7555404924360997E-3</v>
      </c>
      <c r="K24" s="7">
        <f>Processed_RentPrice_US_CA__2[[#This Row],[Value]]/B23 * 100</f>
        <v>99.976874354944385</v>
      </c>
      <c r="L24" s="7">
        <f>Processed_RentPrice_US_CA__2[[#This Row],[Value]]/B12 * 100</f>
        <v>99.524445950756387</v>
      </c>
      <c r="M24" cm="1">
        <f t="array" ref="M24">ROUND( Processed_RentPrice_US_CA__2[[#This Row],[Value]] / AVERAGE( _xlfn._xlws.FILTER(Processed_RentPrice_US_CA__2[Value], YEAR(Processed_RentPrice_US_CA__2[Date])=2020) ), 3) * 100</f>
        <v>100</v>
      </c>
      <c r="N24" s="16" cm="1">
        <f t="array" ref="N2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-2.2139495920434626E-3</v>
      </c>
    </row>
    <row r="25" spans="1:14">
      <c r="A25" s="8">
        <f>rawData_RentPriceIndex_US!A25</f>
        <v>44531</v>
      </c>
      <c r="B25">
        <f>rawData_RentPriceIndex_US!B25</f>
        <v>467.58800000000002</v>
      </c>
      <c r="C25" t="s">
        <v>35</v>
      </c>
      <c r="D25" t="s">
        <v>22</v>
      </c>
      <c r="E25" s="8">
        <v>44531</v>
      </c>
      <c r="F25">
        <v>23</v>
      </c>
      <c r="G25">
        <v>467</v>
      </c>
      <c r="H25">
        <v>469</v>
      </c>
      <c r="I25" s="16">
        <f t="shared" si="0"/>
        <v>1.4606794515384604E-3</v>
      </c>
      <c r="J25" s="16">
        <f>(Processed_RentPrice_US_CA__2[[#This Row],[Value]]-B13)/B13</f>
        <v>-2.6938195716762398E-3</v>
      </c>
      <c r="K25" s="7">
        <f>Processed_RentPrice_US_CA__2[[#This Row],[Value]]/B24 * 100</f>
        <v>100.14606794515385</v>
      </c>
      <c r="L25" s="7">
        <f>Processed_RentPrice_US_CA__2[[#This Row],[Value]]/B13 * 100</f>
        <v>99.730618042832376</v>
      </c>
      <c r="M25" cm="1">
        <f t="array" ref="M25">ROUND( Processed_RentPrice_US_CA__2[[#This Row],[Value]] / AVERAGE( _xlfn._xlws.FILTER(Processed_RentPrice_US_CA__2[Value], YEAR(Processed_RentPrice_US_CA__2[Date])=2020) ), 3) * 100</f>
        <v>100.1</v>
      </c>
      <c r="N25" s="16" cm="1">
        <f t="array" ref="N2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-7.5650401118088073E-4</v>
      </c>
    </row>
    <row r="26" spans="1:14">
      <c r="A26" s="8">
        <f>rawData_RentPriceIndex_US!A26</f>
        <v>44562</v>
      </c>
      <c r="B26">
        <f>rawData_RentPriceIndex_US!B26</f>
        <v>468.49599999999998</v>
      </c>
      <c r="C26" t="s">
        <v>35</v>
      </c>
      <c r="D26" t="s">
        <v>22</v>
      </c>
      <c r="E26" s="8">
        <v>44562</v>
      </c>
      <c r="F26">
        <v>24</v>
      </c>
      <c r="G26">
        <v>468</v>
      </c>
      <c r="H26">
        <v>468</v>
      </c>
      <c r="I26" s="16">
        <f t="shared" si="0"/>
        <v>1.9418804588654083E-3</v>
      </c>
      <c r="J26" s="16">
        <f>(Processed_RentPrice_US_CA__2[[#This Row],[Value]]-B14)/B14</f>
        <v>1.1839074073282023E-3</v>
      </c>
      <c r="K26" s="7">
        <f>Processed_RentPrice_US_CA__2[[#This Row],[Value]]/B25 * 100</f>
        <v>100.19418804588653</v>
      </c>
      <c r="L26" s="7">
        <f>Processed_RentPrice_US_CA__2[[#This Row],[Value]]/B14 * 100</f>
        <v>100.11839074073281</v>
      </c>
      <c r="M26" cm="1">
        <f t="array" ref="M26">ROUND( Processed_RentPrice_US_CA__2[[#This Row],[Value]] / AVERAGE( _xlfn._xlws.FILTER(Processed_RentPrice_US_CA__2[Value], YEAR(Processed_RentPrice_US_CA__2[Date])=2020) ), 3) * 100</f>
        <v>100.29999999999998</v>
      </c>
      <c r="N26" s="16" cm="1">
        <f t="array" ref="N2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27" spans="1:14">
      <c r="A27" s="8">
        <f>rawData_RentPriceIndex_US!A27</f>
        <v>44593</v>
      </c>
      <c r="B27">
        <f>rawData_RentPriceIndex_US!B27</f>
        <v>469.286</v>
      </c>
      <c r="C27" t="s">
        <v>35</v>
      </c>
      <c r="D27" t="s">
        <v>22</v>
      </c>
      <c r="E27" s="8">
        <v>44593</v>
      </c>
      <c r="F27">
        <v>25</v>
      </c>
      <c r="G27">
        <v>468</v>
      </c>
      <c r="H27">
        <v>469</v>
      </c>
      <c r="I27" s="16">
        <f t="shared" si="0"/>
        <v>1.6862470544039233E-3</v>
      </c>
      <c r="J27" s="16">
        <f>(Processed_RentPrice_US_CA__2[[#This Row],[Value]]-B15)/B15</f>
        <v>1.0217424227880235E-3</v>
      </c>
      <c r="K27" s="7">
        <f>Processed_RentPrice_US_CA__2[[#This Row],[Value]]/B26 * 100</f>
        <v>100.16862470544039</v>
      </c>
      <c r="L27" s="7">
        <f>Processed_RentPrice_US_CA__2[[#This Row],[Value]]/B15 * 100</f>
        <v>100.10217424227881</v>
      </c>
      <c r="M27" cm="1">
        <f t="array" ref="M27">ROUND( Processed_RentPrice_US_CA__2[[#This Row],[Value]] / AVERAGE( _xlfn._xlws.FILTER(Processed_RentPrice_US_CA__2[Value], YEAR(Processed_RentPrice_US_CA__2[Date])=2020) ), 3) * 100</f>
        <v>100.49999999999999</v>
      </c>
      <c r="N27" s="16" cm="1">
        <f t="array" ref="N2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1.6862470544038999E-3</v>
      </c>
    </row>
    <row r="28" spans="1:14">
      <c r="A28" s="8">
        <f>rawData_RentPriceIndex_US!A28</f>
        <v>44621</v>
      </c>
      <c r="B28">
        <f>rawData_RentPriceIndex_US!B28</f>
        <v>469.62900000000002</v>
      </c>
      <c r="C28" t="s">
        <v>35</v>
      </c>
      <c r="D28" t="s">
        <v>22</v>
      </c>
      <c r="E28" s="8">
        <v>44621</v>
      </c>
      <c r="F28">
        <v>26</v>
      </c>
      <c r="G28">
        <v>469</v>
      </c>
      <c r="H28">
        <v>468</v>
      </c>
      <c r="I28" s="16">
        <f t="shared" si="0"/>
        <v>7.3089757631810391E-4</v>
      </c>
      <c r="J28" s="16">
        <f>(Processed_RentPrice_US_CA__2[[#This Row],[Value]]-B16)/B16</f>
        <v>2.9857057734323966E-3</v>
      </c>
      <c r="K28" s="7">
        <f>Processed_RentPrice_US_CA__2[[#This Row],[Value]]/B27 * 100</f>
        <v>100.07308975763181</v>
      </c>
      <c r="L28" s="7">
        <f>Processed_RentPrice_US_CA__2[[#This Row],[Value]]/B16 * 100</f>
        <v>100.29857057734324</v>
      </c>
      <c r="M28" cm="1">
        <f t="array" ref="M28">ROUND( Processed_RentPrice_US_CA__2[[#This Row],[Value]] / AVERAGE( _xlfn._xlws.FILTER(Processed_RentPrice_US_CA__2[Value], YEAR(Processed_RentPrice_US_CA__2[Date])=2020) ), 3) * 100</f>
        <v>100.6</v>
      </c>
      <c r="N28" s="16" cm="1">
        <f t="array" ref="N2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2.4183771046071278E-3</v>
      </c>
    </row>
    <row r="29" spans="1:14">
      <c r="A29" s="8">
        <f>rawData_RentPriceIndex_US!A29</f>
        <v>44652</v>
      </c>
      <c r="B29">
        <f>rawData_RentPriceIndex_US!B29</f>
        <v>471.42599999999999</v>
      </c>
      <c r="C29" t="s">
        <v>35</v>
      </c>
      <c r="D29" t="s">
        <v>22</v>
      </c>
      <c r="E29" s="8">
        <v>44652</v>
      </c>
      <c r="F29">
        <v>27</v>
      </c>
      <c r="G29">
        <v>470</v>
      </c>
      <c r="H29">
        <v>468</v>
      </c>
      <c r="I29" s="16">
        <f t="shared" si="0"/>
        <v>3.8264246884241997E-3</v>
      </c>
      <c r="J29" s="16">
        <f>(Processed_RentPrice_US_CA__2[[#This Row],[Value]]-B17)/B17</f>
        <v>7.8416617139632164E-3</v>
      </c>
      <c r="K29" s="7">
        <f>Processed_RentPrice_US_CA__2[[#This Row],[Value]]/B28 * 100</f>
        <v>100.38264246884241</v>
      </c>
      <c r="L29" s="7">
        <f>Processed_RentPrice_US_CA__2[[#This Row],[Value]]/B17 * 100</f>
        <v>100.78416617139632</v>
      </c>
      <c r="M29" cm="1">
        <f t="array" ref="M29">ROUND( Processed_RentPrice_US_CA__2[[#This Row],[Value]] / AVERAGE( _xlfn._xlws.FILTER(Processed_RentPrice_US_CA__2[Value], YEAR(Processed_RentPrice_US_CA__2[Date])=2020) ), 3) * 100</f>
        <v>100.89999999999999</v>
      </c>
      <c r="N29" s="16" cm="1">
        <f t="array" ref="N2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6.2540555308903123E-3</v>
      </c>
    </row>
    <row r="30" spans="1:14">
      <c r="A30" s="8">
        <f>rawData_RentPriceIndex_US!A30</f>
        <v>44682</v>
      </c>
      <c r="B30">
        <f>rawData_RentPriceIndex_US!B30</f>
        <v>471.64800000000002</v>
      </c>
      <c r="C30" t="s">
        <v>35</v>
      </c>
      <c r="D30" t="s">
        <v>22</v>
      </c>
      <c r="E30" s="8">
        <v>44682</v>
      </c>
      <c r="F30">
        <v>28</v>
      </c>
      <c r="G30">
        <v>471</v>
      </c>
      <c r="H30">
        <v>467</v>
      </c>
      <c r="I30" s="16">
        <f t="shared" si="0"/>
        <v>4.7091165951822098E-4</v>
      </c>
      <c r="J30" s="16">
        <f>(Processed_RentPrice_US_CA__2[[#This Row],[Value]]-B18)/B18</f>
        <v>9.388757033007249E-3</v>
      </c>
      <c r="K30" s="7">
        <f>Processed_RentPrice_US_CA__2[[#This Row],[Value]]/B29 * 100</f>
        <v>100.04709116595183</v>
      </c>
      <c r="L30" s="7">
        <f>Processed_RentPrice_US_CA__2[[#This Row],[Value]]/B18 * 100</f>
        <v>100.93887570330074</v>
      </c>
      <c r="M30" cm="1">
        <f t="array" ref="M30">ROUND( Processed_RentPrice_US_CA__2[[#This Row],[Value]] / AVERAGE( _xlfn._xlws.FILTER(Processed_RentPrice_US_CA__2[Value], YEAR(Processed_RentPrice_US_CA__2[Date])=2020) ), 3) * 100</f>
        <v>101</v>
      </c>
      <c r="N30" s="16" cm="1">
        <f t="array" ref="N3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6.7279122980774542E-3</v>
      </c>
    </row>
    <row r="31" spans="1:14">
      <c r="A31" s="8">
        <f>rawData_RentPriceIndex_US!A31</f>
        <v>44713</v>
      </c>
      <c r="B31">
        <f>rawData_RentPriceIndex_US!B31</f>
        <v>472.69099999999997</v>
      </c>
      <c r="C31" t="s">
        <v>35</v>
      </c>
      <c r="D31" t="s">
        <v>22</v>
      </c>
      <c r="E31" s="8">
        <v>44713</v>
      </c>
      <c r="F31">
        <v>29</v>
      </c>
      <c r="G31">
        <v>472</v>
      </c>
      <c r="H31">
        <v>467</v>
      </c>
      <c r="I31" s="16">
        <f t="shared" si="0"/>
        <v>2.2113949385981694E-3</v>
      </c>
      <c r="J31" s="16">
        <f>(Processed_RentPrice_US_CA__2[[#This Row],[Value]]-B19)/B19</f>
        <v>1.2943291667648764E-2</v>
      </c>
      <c r="K31" s="7">
        <f>Processed_RentPrice_US_CA__2[[#This Row],[Value]]/B30 * 100</f>
        <v>100.22113949385982</v>
      </c>
      <c r="L31" s="7">
        <f>Processed_RentPrice_US_CA__2[[#This Row],[Value]]/B19 * 100</f>
        <v>101.29432916676488</v>
      </c>
      <c r="M31" cm="1">
        <f t="array" ref="M31">ROUND( Processed_RentPrice_US_CA__2[[#This Row],[Value]] / AVERAGE( _xlfn._xlws.FILTER(Processed_RentPrice_US_CA__2[Value], YEAR(Processed_RentPrice_US_CA__2[Date])=2020) ), 3) * 100</f>
        <v>101.2</v>
      </c>
      <c r="N31" s="16" cm="1">
        <f t="array" ref="N3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8.9541853078787259E-3</v>
      </c>
    </row>
    <row r="32" spans="1:14">
      <c r="A32" s="8">
        <f>rawData_RentPriceIndex_US!A32</f>
        <v>44743</v>
      </c>
      <c r="B32">
        <f>rawData_RentPriceIndex_US!B32</f>
        <v>474.15899999999999</v>
      </c>
      <c r="C32" t="s">
        <v>35</v>
      </c>
      <c r="D32" t="s">
        <v>22</v>
      </c>
      <c r="E32" s="8">
        <v>44743</v>
      </c>
      <c r="F32">
        <v>30</v>
      </c>
      <c r="G32">
        <v>473</v>
      </c>
      <c r="H32">
        <v>468</v>
      </c>
      <c r="I32" s="16">
        <f t="shared" si="0"/>
        <v>3.1056229122196485E-3</v>
      </c>
      <c r="J32" s="16">
        <f>(Processed_RentPrice_US_CA__2[[#This Row],[Value]]-B20)/B20</f>
        <v>1.3784123563218398E-2</v>
      </c>
      <c r="K32" s="7">
        <f>Processed_RentPrice_US_CA__2[[#This Row],[Value]]/B31 * 100</f>
        <v>100.31056229122197</v>
      </c>
      <c r="L32" s="7">
        <f>Processed_RentPrice_US_CA__2[[#This Row],[Value]]/B20 * 100</f>
        <v>101.37841235632183</v>
      </c>
      <c r="M32" cm="1">
        <f t="array" ref="M32">ROUND( Processed_RentPrice_US_CA__2[[#This Row],[Value]] / AVERAGE( _xlfn._xlws.FILTER(Processed_RentPrice_US_CA__2[Value], YEAR(Processed_RentPrice_US_CA__2[Date])=2020) ), 3) * 100</f>
        <v>101.49999999999999</v>
      </c>
      <c r="N32" s="16" cm="1">
        <f t="array" ref="N3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1.2087616543150936E-2</v>
      </c>
    </row>
    <row r="33" spans="1:14">
      <c r="A33" s="8">
        <f>rawData_RentPriceIndex_US!A33</f>
        <v>44774</v>
      </c>
      <c r="B33">
        <f>rawData_RentPriceIndex_US!B33</f>
        <v>476.38400000000001</v>
      </c>
      <c r="C33" t="s">
        <v>35</v>
      </c>
      <c r="D33" t="s">
        <v>22</v>
      </c>
      <c r="E33" s="8">
        <v>44774</v>
      </c>
      <c r="F33">
        <v>31</v>
      </c>
      <c r="G33">
        <v>474</v>
      </c>
      <c r="H33">
        <v>468</v>
      </c>
      <c r="I33" s="16">
        <f t="shared" si="0"/>
        <v>4.6925187542575858E-3</v>
      </c>
      <c r="J33" s="16">
        <f>(Processed_RentPrice_US_CA__2[[#This Row],[Value]]-B21)/B21</f>
        <v>1.8820147823706567E-2</v>
      </c>
      <c r="K33" s="7">
        <f>Processed_RentPrice_US_CA__2[[#This Row],[Value]]/B32 * 100</f>
        <v>100.46925187542577</v>
      </c>
      <c r="L33" s="7">
        <f>Processed_RentPrice_US_CA__2[[#This Row],[Value]]/B21 * 100</f>
        <v>101.88201478237066</v>
      </c>
      <c r="M33" cm="1">
        <f t="array" ref="M33">ROUND( Processed_RentPrice_US_CA__2[[#This Row],[Value]] / AVERAGE( _xlfn._xlws.FILTER(Processed_RentPrice_US_CA__2[Value], YEAR(Processed_RentPrice_US_CA__2[Date])=2020) ), 3) * 100</f>
        <v>102</v>
      </c>
      <c r="N33" s="16" cm="1">
        <f t="array" ref="N3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1.6836856664731448E-2</v>
      </c>
    </row>
    <row r="34" spans="1:14">
      <c r="A34" s="8">
        <f>rawData_RentPriceIndex_US!A34</f>
        <v>44805</v>
      </c>
      <c r="B34">
        <f>rawData_RentPriceIndex_US!B34</f>
        <v>477.57900000000001</v>
      </c>
      <c r="C34" t="s">
        <v>35</v>
      </c>
      <c r="D34" t="s">
        <v>22</v>
      </c>
      <c r="E34" s="8">
        <v>44805</v>
      </c>
      <c r="F34">
        <v>32</v>
      </c>
      <c r="G34">
        <v>476</v>
      </c>
      <c r="H34">
        <v>467</v>
      </c>
      <c r="I34" s="16">
        <f t="shared" si="0"/>
        <v>2.508480553503042E-3</v>
      </c>
      <c r="J34" s="16">
        <f>(Processed_RentPrice_US_CA__2[[#This Row],[Value]]-B22)/B22</f>
        <v>2.2970729669811802E-2</v>
      </c>
      <c r="K34" s="7">
        <f>Processed_RentPrice_US_CA__2[[#This Row],[Value]]/B33 * 100</f>
        <v>100.25084805535029</v>
      </c>
      <c r="L34" s="7">
        <f>Processed_RentPrice_US_CA__2[[#This Row],[Value]]/B22 * 100</f>
        <v>102.29707296698119</v>
      </c>
      <c r="M34" cm="1">
        <f t="array" ref="M34">ROUND( Processed_RentPrice_US_CA__2[[#This Row],[Value]] / AVERAGE( _xlfn._xlws.FILTER(Processed_RentPrice_US_CA__2[Value], YEAR(Processed_RentPrice_US_CA__2[Date])=2020) ), 3) * 100</f>
        <v>102.3</v>
      </c>
      <c r="N34" s="16" cm="1">
        <f t="array" ref="N3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1.9387572145760146E-2</v>
      </c>
    </row>
    <row r="35" spans="1:14">
      <c r="A35" s="8">
        <f>rawData_RentPriceIndex_US!A35</f>
        <v>44835</v>
      </c>
      <c r="B35">
        <f>rawData_RentPriceIndex_US!B35</f>
        <v>479.99900000000002</v>
      </c>
      <c r="C35" t="s">
        <v>35</v>
      </c>
      <c r="D35" t="s">
        <v>22</v>
      </c>
      <c r="E35" s="8">
        <v>44835</v>
      </c>
      <c r="F35">
        <v>33</v>
      </c>
      <c r="G35">
        <v>478</v>
      </c>
      <c r="H35">
        <v>467</v>
      </c>
      <c r="I35" s="16">
        <f t="shared" si="0"/>
        <v>5.0672244801383982E-3</v>
      </c>
      <c r="J35" s="16">
        <f>(Processed_RentPrice_US_CA__2[[#This Row],[Value]]-B23)/B23</f>
        <v>2.7804305652507234E-2</v>
      </c>
      <c r="K35" s="7">
        <f>Processed_RentPrice_US_CA__2[[#This Row],[Value]]/B34 * 100</f>
        <v>100.50672244801385</v>
      </c>
      <c r="L35" s="7">
        <f>Processed_RentPrice_US_CA__2[[#This Row],[Value]]/B23 * 100</f>
        <v>102.78043056525073</v>
      </c>
      <c r="M35" cm="1">
        <f t="array" ref="M35">ROUND( Processed_RentPrice_US_CA__2[[#This Row],[Value]] / AVERAGE( _xlfn._xlws.FILTER(Processed_RentPrice_US_CA__2[Value], YEAR(Processed_RentPrice_US_CA__2[Date])=2020) ), 3) * 100</f>
        <v>102.8</v>
      </c>
      <c r="N35" s="16" cm="1">
        <f t="array" ref="N3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2.4553037806085865E-2</v>
      </c>
    </row>
    <row r="36" spans="1:14">
      <c r="A36" s="8">
        <f>rawData_RentPriceIndex_US!A36</f>
        <v>44866</v>
      </c>
      <c r="B36">
        <f>rawData_RentPriceIndex_US!B36</f>
        <v>483.94299999999998</v>
      </c>
      <c r="C36" t="s">
        <v>35</v>
      </c>
      <c r="D36" t="s">
        <v>22</v>
      </c>
      <c r="E36" s="8">
        <v>44866</v>
      </c>
      <c r="F36">
        <v>34</v>
      </c>
      <c r="G36">
        <v>480</v>
      </c>
      <c r="H36">
        <v>467</v>
      </c>
      <c r="I36" s="16">
        <f t="shared" si="0"/>
        <v>8.2166837847578011E-3</v>
      </c>
      <c r="J36" s="16">
        <f>(Processed_RentPrice_US_CA__2[[#This Row],[Value]]-B24)/B24</f>
        <v>3.6489143425014837E-2</v>
      </c>
      <c r="K36" s="7">
        <f>Processed_RentPrice_US_CA__2[[#This Row],[Value]]/B35 * 100</f>
        <v>100.82166837847578</v>
      </c>
      <c r="L36" s="7">
        <f>Processed_RentPrice_US_CA__2[[#This Row],[Value]]/B24 * 100</f>
        <v>103.64891434250147</v>
      </c>
      <c r="M36" cm="1">
        <f t="array" ref="M36">ROUND( Processed_RentPrice_US_CA__2[[#This Row],[Value]] / AVERAGE( _xlfn._xlws.FILTER(Processed_RentPrice_US_CA__2[Value], YEAR(Processed_RentPrice_US_CA__2[Date])=2020) ), 3) * 100</f>
        <v>103.60000000000001</v>
      </c>
      <c r="N36" s="16" cm="1">
        <f t="array" ref="N3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3.2971466138451477E-2</v>
      </c>
    </row>
    <row r="37" spans="1:14">
      <c r="A37" s="8">
        <f>rawData_RentPriceIndex_US!A37</f>
        <v>44896</v>
      </c>
      <c r="B37">
        <f>rawData_RentPriceIndex_US!B37</f>
        <v>487.48</v>
      </c>
      <c r="C37" t="s">
        <v>35</v>
      </c>
      <c r="D37" t="s">
        <v>22</v>
      </c>
      <c r="E37" s="8">
        <v>44896</v>
      </c>
      <c r="F37">
        <v>35</v>
      </c>
      <c r="G37">
        <v>484</v>
      </c>
      <c r="H37">
        <v>468</v>
      </c>
      <c r="I37" s="16">
        <f t="shared" si="0"/>
        <v>7.3087119764105165E-3</v>
      </c>
      <c r="J37" s="16">
        <f>(Processed_RentPrice_US_CA__2[[#This Row],[Value]]-B25)/B25</f>
        <v>4.2541724766247201E-2</v>
      </c>
      <c r="K37" s="7">
        <f>Processed_RentPrice_US_CA__2[[#This Row],[Value]]/B36 * 100</f>
        <v>100.73087119764106</v>
      </c>
      <c r="L37" s="7">
        <f>Processed_RentPrice_US_CA__2[[#This Row],[Value]]/B25 * 100</f>
        <v>104.25417247662472</v>
      </c>
      <c r="M37" cm="1">
        <f t="array" ref="M37">ROUND( Processed_RentPrice_US_CA__2[[#This Row],[Value]] / AVERAGE( _xlfn._xlws.FILTER(Processed_RentPrice_US_CA__2[Value], YEAR(Processed_RentPrice_US_CA__2[Date])=2020) ), 3) * 100</f>
        <v>104.4</v>
      </c>
      <c r="N37" s="16" cm="1">
        <f t="array" ref="N3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4.0521157064308033E-2</v>
      </c>
    </row>
    <row r="38" spans="1:14">
      <c r="A38" s="8">
        <f>rawData_RentPriceIndex_US!A38</f>
        <v>44927</v>
      </c>
      <c r="B38">
        <f>rawData_RentPriceIndex_US!B38</f>
        <v>490.03100000000001</v>
      </c>
      <c r="C38" t="s">
        <v>35</v>
      </c>
      <c r="D38" t="s">
        <v>22</v>
      </c>
      <c r="E38" s="8">
        <v>44927</v>
      </c>
      <c r="F38">
        <v>36</v>
      </c>
      <c r="G38">
        <v>487</v>
      </c>
      <c r="H38">
        <v>468</v>
      </c>
      <c r="I38" s="16">
        <f t="shared" si="0"/>
        <v>5.2330352014441361E-3</v>
      </c>
      <c r="J38" s="16">
        <f>(Processed_RentPrice_US_CA__2[[#This Row],[Value]]-B26)/B26</f>
        <v>4.5966240907072901E-2</v>
      </c>
      <c r="K38" s="7">
        <f>Processed_RentPrice_US_CA__2[[#This Row],[Value]]/B37 * 100</f>
        <v>100.52330352014442</v>
      </c>
      <c r="L38" s="7">
        <f>Processed_RentPrice_US_CA__2[[#This Row],[Value]]/B26 * 100</f>
        <v>104.59662409070729</v>
      </c>
      <c r="M38" cm="1">
        <f t="array" ref="M38">ROUND( Processed_RentPrice_US_CA__2[[#This Row],[Value]] / AVERAGE( _xlfn._xlws.FILTER(Processed_RentPrice_US_CA__2[Value], YEAR(Processed_RentPrice_US_CA__2[Date])=2020) ), 3) * 100</f>
        <v>104.89999999999999</v>
      </c>
      <c r="N38" s="16" cm="1">
        <f t="array" ref="N3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39" spans="1:14">
      <c r="A39" s="8">
        <f>rawData_RentPriceIndex_US!A39</f>
        <v>44958</v>
      </c>
      <c r="B39">
        <f>rawData_RentPriceIndex_US!B39</f>
        <v>491.87400000000002</v>
      </c>
      <c r="C39" t="s">
        <v>35</v>
      </c>
      <c r="D39" t="s">
        <v>22</v>
      </c>
      <c r="E39" s="8">
        <v>44958</v>
      </c>
      <c r="F39">
        <v>37</v>
      </c>
      <c r="G39">
        <v>490</v>
      </c>
      <c r="H39">
        <v>469</v>
      </c>
      <c r="I39" s="16">
        <f t="shared" si="0"/>
        <v>3.760986549830557E-3</v>
      </c>
      <c r="J39" s="16">
        <f>(Processed_RentPrice_US_CA__2[[#This Row],[Value]]-B27)/B27</f>
        <v>4.8132695200794447E-2</v>
      </c>
      <c r="K39" s="7">
        <f>Processed_RentPrice_US_CA__2[[#This Row],[Value]]/B38 * 100</f>
        <v>100.37609865498305</v>
      </c>
      <c r="L39" s="7">
        <f>Processed_RentPrice_US_CA__2[[#This Row],[Value]]/B27 * 100</f>
        <v>104.81326952007946</v>
      </c>
      <c r="M39" cm="1">
        <f t="array" ref="M39">ROUND( Processed_RentPrice_US_CA__2[[#This Row],[Value]] / AVERAGE( _xlfn._xlws.FILTER(Processed_RentPrice_US_CA__2[Value], YEAR(Processed_RentPrice_US_CA__2[Date])=2020) ), 3) * 100</f>
        <v>105.3</v>
      </c>
      <c r="N39" s="16" cm="1">
        <f t="array" ref="N3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3.7609865498304806E-3</v>
      </c>
    </row>
    <row r="40" spans="1:14">
      <c r="A40" s="8">
        <f>rawData_RentPriceIndex_US!A40</f>
        <v>44986</v>
      </c>
      <c r="B40">
        <f>rawData_RentPriceIndex_US!B40</f>
        <v>494.28300000000002</v>
      </c>
      <c r="C40" t="s">
        <v>35</v>
      </c>
      <c r="D40" t="s">
        <v>22</v>
      </c>
      <c r="E40" s="8">
        <v>44986</v>
      </c>
      <c r="F40">
        <v>38</v>
      </c>
      <c r="G40">
        <v>492</v>
      </c>
      <c r="H40">
        <v>470</v>
      </c>
      <c r="I40" s="16">
        <f t="shared" si="0"/>
        <v>4.8975957257346228E-3</v>
      </c>
      <c r="J40" s="16">
        <f>(Processed_RentPrice_US_CA__2[[#This Row],[Value]]-B28)/B28</f>
        <v>5.2496758079249778E-2</v>
      </c>
      <c r="K40" s="7">
        <f>Processed_RentPrice_US_CA__2[[#This Row],[Value]]/B39 * 100</f>
        <v>100.48975957257346</v>
      </c>
      <c r="L40" s="7">
        <f>Processed_RentPrice_US_CA__2[[#This Row],[Value]]/B28 * 100</f>
        <v>105.24967580792497</v>
      </c>
      <c r="M40" cm="1">
        <f t="array" ref="M40">ROUND( Processed_RentPrice_US_CA__2[[#This Row],[Value]] / AVERAGE( _xlfn._xlws.FILTER(Processed_RentPrice_US_CA__2[Value], YEAR(Processed_RentPrice_US_CA__2[Date])=2020) ), 3) * 100</f>
        <v>105.80000000000001</v>
      </c>
      <c r="N40" s="16" cm="1">
        <f t="array" ref="N4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8.6770020672162218E-3</v>
      </c>
    </row>
    <row r="41" spans="1:14">
      <c r="A41" s="8">
        <f>rawData_RentPriceIndex_US!A41</f>
        <v>45017</v>
      </c>
      <c r="B41">
        <f>rawData_RentPriceIndex_US!B41</f>
        <v>494.56</v>
      </c>
      <c r="C41" t="s">
        <v>35</v>
      </c>
      <c r="D41" t="s">
        <v>22</v>
      </c>
      <c r="E41" s="8">
        <v>45017</v>
      </c>
      <c r="F41">
        <v>39</v>
      </c>
      <c r="G41">
        <v>494</v>
      </c>
      <c r="H41">
        <v>471</v>
      </c>
      <c r="I41" s="16">
        <f t="shared" si="0"/>
        <v>5.6040770166076277E-4</v>
      </c>
      <c r="J41" s="16">
        <f>(Processed_RentPrice_US_CA__2[[#This Row],[Value]]-B29)/B29</f>
        <v>4.9072388879696949E-2</v>
      </c>
      <c r="K41" s="7">
        <f>Processed_RentPrice_US_CA__2[[#This Row],[Value]]/B40 * 100</f>
        <v>100.05604077016608</v>
      </c>
      <c r="L41" s="7">
        <f>Processed_RentPrice_US_CA__2[[#This Row],[Value]]/B29 * 100</f>
        <v>104.90723888796968</v>
      </c>
      <c r="M41" cm="1">
        <f t="array" ref="M41">ROUND( Processed_RentPrice_US_CA__2[[#This Row],[Value]] / AVERAGE( _xlfn._xlws.FILTER(Processed_RentPrice_US_CA__2[Value], YEAR(Processed_RentPrice_US_CA__2[Date])=2020) ), 3) * 100</f>
        <v>105.89999999999999</v>
      </c>
      <c r="N41" s="16" cm="1">
        <f t="array" ref="N4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9.2422724276626234E-3</v>
      </c>
    </row>
    <row r="42" spans="1:14">
      <c r="A42" s="8">
        <f>rawData_RentPriceIndex_US!A42</f>
        <v>45047</v>
      </c>
      <c r="B42">
        <f>rawData_RentPriceIndex_US!B42</f>
        <v>494.88099999999997</v>
      </c>
      <c r="C42" t="s">
        <v>35</v>
      </c>
      <c r="D42" t="s">
        <v>22</v>
      </c>
      <c r="E42" s="8">
        <v>45047</v>
      </c>
      <c r="F42">
        <v>40</v>
      </c>
      <c r="G42">
        <v>495</v>
      </c>
      <c r="H42">
        <v>472</v>
      </c>
      <c r="I42" s="16">
        <f t="shared" si="0"/>
        <v>6.4906179230016486E-4</v>
      </c>
      <c r="J42" s="16">
        <f>(Processed_RentPrice_US_CA__2[[#This Row],[Value]]-B30)/B30</f>
        <v>4.9259193296695723E-2</v>
      </c>
      <c r="K42" s="7">
        <f>Processed_RentPrice_US_CA__2[[#This Row],[Value]]/B41 * 100</f>
        <v>100.06490617923001</v>
      </c>
      <c r="L42" s="7">
        <f>Processed_RentPrice_US_CA__2[[#This Row],[Value]]/B30 * 100</f>
        <v>104.92591932966957</v>
      </c>
      <c r="M42" cm="1">
        <f t="array" ref="M42">ROUND( Processed_RentPrice_US_CA__2[[#This Row],[Value]] / AVERAGE( _xlfn._xlws.FILTER(Processed_RentPrice_US_CA__2[Value], YEAR(Processed_RentPrice_US_CA__2[Date])=2020) ), 3) * 100</f>
        <v>106</v>
      </c>
      <c r="N42" s="16" cm="1">
        <f t="array" ref="N4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9.8973330258698144E-3</v>
      </c>
    </row>
    <row r="43" spans="1:14">
      <c r="A43" s="8">
        <f>rawData_RentPriceIndex_US!A43</f>
        <v>45078</v>
      </c>
      <c r="B43">
        <f>rawData_RentPriceIndex_US!B43</f>
        <v>501.714</v>
      </c>
      <c r="C43" t="s">
        <v>35</v>
      </c>
      <c r="D43" t="s">
        <v>22</v>
      </c>
      <c r="E43" s="8">
        <v>45078</v>
      </c>
      <c r="F43">
        <v>41</v>
      </c>
      <c r="G43">
        <v>495</v>
      </c>
      <c r="H43">
        <v>473</v>
      </c>
      <c r="I43" s="16">
        <f t="shared" si="0"/>
        <v>1.3807359749111457E-2</v>
      </c>
      <c r="J43" s="16">
        <f>(Processed_RentPrice_US_CA__2[[#This Row],[Value]]-B31)/B31</f>
        <v>6.1399518924625231E-2</v>
      </c>
      <c r="K43" s="7">
        <f>Processed_RentPrice_US_CA__2[[#This Row],[Value]]/B42 * 100</f>
        <v>101.38073597491115</v>
      </c>
      <c r="L43" s="7">
        <f>Processed_RentPrice_US_CA__2[[#This Row],[Value]]/B31 * 100</f>
        <v>106.13995189246252</v>
      </c>
      <c r="M43" cm="1">
        <f t="array" ref="M43">ROUND( Processed_RentPrice_US_CA__2[[#This Row],[Value]] / AVERAGE( _xlfn._xlws.FILTER(Processed_RentPrice_US_CA__2[Value], YEAR(Processed_RentPrice_US_CA__2[Date])=2020) ), 3) * 100</f>
        <v>107.4</v>
      </c>
      <c r="N43" s="16" cm="1">
        <f t="array" ref="N4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2.3841348812626117E-2</v>
      </c>
    </row>
    <row r="44" spans="1:14">
      <c r="A44" s="8">
        <f>rawData_RentPriceIndex_US!A44</f>
        <v>45108</v>
      </c>
      <c r="B44">
        <f>rawData_RentPriceIndex_US!B44</f>
        <v>501.91699999999997</v>
      </c>
      <c r="C44" t="s">
        <v>35</v>
      </c>
      <c r="D44" t="s">
        <v>22</v>
      </c>
      <c r="E44" s="8">
        <v>45108</v>
      </c>
      <c r="F44">
        <v>42</v>
      </c>
      <c r="G44">
        <v>502</v>
      </c>
      <c r="H44">
        <v>474</v>
      </c>
      <c r="I44" s="16">
        <f t="shared" si="0"/>
        <v>4.0461298668160452E-4</v>
      </c>
      <c r="J44" s="16">
        <f>(Processed_RentPrice_US_CA__2[[#This Row],[Value]]-B32)/B32</f>
        <v>5.8541544081204787E-2</v>
      </c>
      <c r="K44" s="7">
        <f>Processed_RentPrice_US_CA__2[[#This Row],[Value]]/B43 * 100</f>
        <v>100.04046129866818</v>
      </c>
      <c r="L44" s="7">
        <f>Processed_RentPrice_US_CA__2[[#This Row],[Value]]/B32 * 100</f>
        <v>105.85415440812046</v>
      </c>
      <c r="M44" cm="1">
        <f t="array" ref="M44">ROUND( Processed_RentPrice_US_CA__2[[#This Row],[Value]] / AVERAGE( _xlfn._xlws.FILTER(Processed_RentPrice_US_CA__2[Value], YEAR(Processed_RentPrice_US_CA__2[Date])=2020) ), 3) * 100</f>
        <v>107.5</v>
      </c>
      <c r="N44" s="16" cm="1">
        <f t="array" ref="N4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2.4255608318657362E-2</v>
      </c>
    </row>
    <row r="45" spans="1:14">
      <c r="A45" s="8">
        <f>rawData_RentPriceIndex_US!A45</f>
        <v>45139</v>
      </c>
      <c r="B45">
        <f>rawData_RentPriceIndex_US!B45</f>
        <v>501.255</v>
      </c>
      <c r="C45" t="s">
        <v>35</v>
      </c>
      <c r="D45" t="s">
        <v>22</v>
      </c>
      <c r="E45" s="8">
        <v>45139</v>
      </c>
      <c r="F45">
        <v>43</v>
      </c>
      <c r="G45">
        <v>502</v>
      </c>
      <c r="H45">
        <v>476</v>
      </c>
      <c r="I45" s="16">
        <f t="shared" si="0"/>
        <v>-1.3189431718789715E-3</v>
      </c>
      <c r="J45" s="16">
        <f>(Processed_RentPrice_US_CA__2[[#This Row],[Value]]-B33)/B33</f>
        <v>5.2207882716463989E-2</v>
      </c>
      <c r="K45" s="7">
        <f>Processed_RentPrice_US_CA__2[[#This Row],[Value]]/B44 * 100</f>
        <v>99.8681056828121</v>
      </c>
      <c r="L45" s="7">
        <f>Processed_RentPrice_US_CA__2[[#This Row],[Value]]/B33 * 100</f>
        <v>105.2207882716464</v>
      </c>
      <c r="M45" cm="1">
        <f t="array" ref="M45">ROUND( Processed_RentPrice_US_CA__2[[#This Row],[Value]] / AVERAGE( _xlfn._xlws.FILTER(Processed_RentPrice_US_CA__2[Value], YEAR(Processed_RentPrice_US_CA__2[Date])=2020) ), 3) * 100</f>
        <v>107.3</v>
      </c>
      <c r="N45" s="16" cm="1">
        <f t="array" ref="N4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2.2904673377806661E-2</v>
      </c>
    </row>
    <row r="46" spans="1:14">
      <c r="A46" s="8">
        <f>rawData_RentPriceIndex_US!A46</f>
        <v>45170</v>
      </c>
      <c r="B46">
        <f>rawData_RentPriceIndex_US!B46</f>
        <v>502.863</v>
      </c>
      <c r="C46" t="s">
        <v>35</v>
      </c>
      <c r="D46" t="s">
        <v>22</v>
      </c>
      <c r="E46" s="8">
        <v>45170</v>
      </c>
      <c r="F46">
        <v>44</v>
      </c>
      <c r="G46">
        <v>501</v>
      </c>
      <c r="H46">
        <v>478</v>
      </c>
      <c r="I46" s="16">
        <f t="shared" si="0"/>
        <v>3.2079480503935205E-3</v>
      </c>
      <c r="J46" s="16">
        <f>(Processed_RentPrice_US_CA__2[[#This Row],[Value]]-B34)/B34</f>
        <v>5.2942026345379492E-2</v>
      </c>
      <c r="K46" s="7">
        <f>Processed_RentPrice_US_CA__2[[#This Row],[Value]]/B45 * 100</f>
        <v>100.32079480503936</v>
      </c>
      <c r="L46" s="7">
        <f>Processed_RentPrice_US_CA__2[[#This Row],[Value]]/B34 * 100</f>
        <v>105.29420263453795</v>
      </c>
      <c r="M46" cm="1">
        <f t="array" ref="M46">ROUND( Processed_RentPrice_US_CA__2[[#This Row],[Value]] / AVERAGE( _xlfn._xlws.FILTER(Processed_RentPrice_US_CA__2[Value], YEAR(Processed_RentPrice_US_CA__2[Date])=2020) ), 3) * 100</f>
        <v>107.69999999999999</v>
      </c>
      <c r="N46" s="16" cm="1">
        <f t="array" ref="N4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2.6186098430507343E-2</v>
      </c>
    </row>
    <row r="47" spans="1:14">
      <c r="A47" s="8">
        <f>rawData_RentPriceIndex_US!A47</f>
        <v>45200</v>
      </c>
      <c r="B47">
        <f>rawData_RentPriceIndex_US!B47</f>
        <v>502.62599999999998</v>
      </c>
      <c r="C47" t="s">
        <v>35</v>
      </c>
      <c r="D47" t="s">
        <v>22</v>
      </c>
      <c r="E47" s="8">
        <v>45200</v>
      </c>
      <c r="F47">
        <v>45</v>
      </c>
      <c r="G47">
        <v>503</v>
      </c>
      <c r="H47">
        <v>480</v>
      </c>
      <c r="I47" s="16">
        <f t="shared" si="0"/>
        <v>-4.7130132859252556E-4</v>
      </c>
      <c r="J47" s="16">
        <f>(Processed_RentPrice_US_CA__2[[#This Row],[Value]]-B35)/B35</f>
        <v>4.7139681541003106E-2</v>
      </c>
      <c r="K47" s="7">
        <f>Processed_RentPrice_US_CA__2[[#This Row],[Value]]/B46 * 100</f>
        <v>99.952869867140748</v>
      </c>
      <c r="L47" s="7">
        <f>Processed_RentPrice_US_CA__2[[#This Row],[Value]]/B35 * 100</f>
        <v>104.7139681541003</v>
      </c>
      <c r="M47" cm="1">
        <f t="array" ref="M47">ROUND( Processed_RentPrice_US_CA__2[[#This Row],[Value]] / AVERAGE( _xlfn._xlws.FILTER(Processed_RentPrice_US_CA__2[Value], YEAR(Processed_RentPrice_US_CA__2[Date])=2020) ), 3) * 100</f>
        <v>107.60000000000001</v>
      </c>
      <c r="N47" s="16" cm="1">
        <f t="array" ref="N4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2.5702455558934023E-2</v>
      </c>
    </row>
    <row r="48" spans="1:14">
      <c r="A48" s="8">
        <f>rawData_RentPriceIndex_US!A48</f>
        <v>45231</v>
      </c>
      <c r="B48">
        <f>rawData_RentPriceIndex_US!B48</f>
        <v>504.34399999999999</v>
      </c>
      <c r="C48" t="s">
        <v>35</v>
      </c>
      <c r="D48" t="s">
        <v>22</v>
      </c>
      <c r="E48" s="8">
        <v>45231</v>
      </c>
      <c r="F48">
        <v>46</v>
      </c>
      <c r="G48">
        <v>503</v>
      </c>
      <c r="H48">
        <v>484</v>
      </c>
      <c r="I48" s="16">
        <f t="shared" si="0"/>
        <v>3.4180484097520178E-3</v>
      </c>
      <c r="J48" s="16">
        <f>(Processed_RentPrice_US_CA__2[[#This Row],[Value]]-B36)/B36</f>
        <v>4.2155791074568724E-2</v>
      </c>
      <c r="K48" s="7">
        <f>Processed_RentPrice_US_CA__2[[#This Row],[Value]]/B47 * 100</f>
        <v>100.34180484097521</v>
      </c>
      <c r="L48" s="7">
        <f>Processed_RentPrice_US_CA__2[[#This Row],[Value]]/B36 * 100</f>
        <v>104.21557910745688</v>
      </c>
      <c r="M48" cm="1">
        <f t="array" ref="M48">ROUND( Processed_RentPrice_US_CA__2[[#This Row],[Value]] / AVERAGE( _xlfn._xlws.FILTER(Processed_RentPrice_US_CA__2[Value], YEAR(Processed_RentPrice_US_CA__2[Date])=2020) ), 3) * 100</f>
        <v>108</v>
      </c>
      <c r="N48" s="16" cm="1">
        <f t="array" ref="N4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2.9208356206035901E-2</v>
      </c>
    </row>
    <row r="49" spans="1:14">
      <c r="A49" s="8">
        <f>rawData_RentPriceIndex_US!A49</f>
        <v>45261</v>
      </c>
      <c r="B49">
        <f>rawData_RentPriceIndex_US!B49</f>
        <v>503.44299999999998</v>
      </c>
      <c r="C49" t="s">
        <v>35</v>
      </c>
      <c r="D49" t="s">
        <v>22</v>
      </c>
      <c r="E49" s="8">
        <v>45261</v>
      </c>
      <c r="F49">
        <v>47</v>
      </c>
      <c r="G49">
        <v>504</v>
      </c>
      <c r="H49">
        <v>487</v>
      </c>
      <c r="I49" s="16">
        <f t="shared" si="0"/>
        <v>-1.7864790698412403E-3</v>
      </c>
      <c r="J49" s="16">
        <f>(Processed_RentPrice_US_CA__2[[#This Row],[Value]]-B37)/B37</f>
        <v>3.2745958808566435E-2</v>
      </c>
      <c r="K49" s="7">
        <f>Processed_RentPrice_US_CA__2[[#This Row],[Value]]/B48 * 100</f>
        <v>99.821352093015875</v>
      </c>
      <c r="L49" s="7">
        <f>Processed_RentPrice_US_CA__2[[#This Row],[Value]]/B37 * 100</f>
        <v>103.27459588085664</v>
      </c>
      <c r="M49" cm="1">
        <f t="array" ref="M49">ROUND( Processed_RentPrice_US_CA__2[[#This Row],[Value]] / AVERAGE( _xlfn._xlws.FILTER(Processed_RentPrice_US_CA__2[Value], YEAR(Processed_RentPrice_US_CA__2[Date])=2020) ), 3) * 100</f>
        <v>107.80000000000001</v>
      </c>
      <c r="N49" s="16" cm="1">
        <f t="array" ref="N4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2.7369697019168138E-2</v>
      </c>
    </row>
    <row r="50" spans="1:14">
      <c r="A50" s="8">
        <f>rawData_RentPriceIndex_US!A50</f>
        <v>45292</v>
      </c>
      <c r="B50">
        <f>rawData_RentPriceIndex_US!B50</f>
        <v>504.31099999999998</v>
      </c>
      <c r="C50" t="s">
        <v>35</v>
      </c>
      <c r="D50" t="s">
        <v>22</v>
      </c>
      <c r="E50" s="8">
        <v>45292</v>
      </c>
      <c r="F50">
        <v>48</v>
      </c>
      <c r="G50">
        <v>503</v>
      </c>
      <c r="H50">
        <v>490</v>
      </c>
      <c r="I50" s="16">
        <f t="shared" si="0"/>
        <v>1.7241276569542035E-3</v>
      </c>
      <c r="J50" s="16">
        <f>(Processed_RentPrice_US_CA__2[[#This Row],[Value]]-B38)/B38</f>
        <v>2.9141013527715538E-2</v>
      </c>
      <c r="K50" s="7">
        <f>Processed_RentPrice_US_CA__2[[#This Row],[Value]]/B49 * 100</f>
        <v>100.17241276569541</v>
      </c>
      <c r="L50" s="7">
        <f>Processed_RentPrice_US_CA__2[[#This Row],[Value]]/B38 * 100</f>
        <v>102.91410135277155</v>
      </c>
      <c r="M50" cm="1">
        <f t="array" ref="M50">ROUND( Processed_RentPrice_US_CA__2[[#This Row],[Value]] / AVERAGE( _xlfn._xlws.FILTER(Processed_RentPrice_US_CA__2[Value], YEAR(Processed_RentPrice_US_CA__2[Date])=2020) ), 3) * 100</f>
        <v>108</v>
      </c>
      <c r="N50" s="16" cm="1">
        <f t="array" ref="N5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51" spans="1:14">
      <c r="A51" s="8">
        <f>rawData_RentPriceIndex_US!A51</f>
        <v>45323</v>
      </c>
      <c r="B51">
        <f>rawData_RentPriceIndex_US!B51</f>
        <v>503.93799999999999</v>
      </c>
      <c r="C51" t="s">
        <v>35</v>
      </c>
      <c r="D51" t="s">
        <v>22</v>
      </c>
      <c r="E51" s="8">
        <v>45323</v>
      </c>
      <c r="F51">
        <v>49</v>
      </c>
      <c r="G51">
        <v>504</v>
      </c>
      <c r="H51">
        <v>492</v>
      </c>
      <c r="I51" s="16">
        <f t="shared" si="0"/>
        <v>-7.3962297074620716E-4</v>
      </c>
      <c r="J51" s="16">
        <f>(Processed_RentPrice_US_CA__2[[#This Row],[Value]]-B39)/B39</f>
        <v>2.4526606407331886E-2</v>
      </c>
      <c r="K51" s="7">
        <f>Processed_RentPrice_US_CA__2[[#This Row],[Value]]/B50 * 100</f>
        <v>99.92603770292537</v>
      </c>
      <c r="L51" s="7">
        <f>Processed_RentPrice_US_CA__2[[#This Row],[Value]]/B39 * 100</f>
        <v>102.4526606407332</v>
      </c>
      <c r="M51" cm="1">
        <f t="array" ref="M51">ROUND( Processed_RentPrice_US_CA__2[[#This Row],[Value]] / AVERAGE( _xlfn._xlws.FILTER(Processed_RentPrice_US_CA__2[Value], YEAR(Processed_RentPrice_US_CA__2[Date])=2020) ), 3) * 100</f>
        <v>107.89999999999999</v>
      </c>
      <c r="N51" s="16" cm="1">
        <f t="array" ref="N5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-7.3962297074625649E-4</v>
      </c>
    </row>
    <row r="52" spans="1:14">
      <c r="A52" s="8">
        <f>rawData_RentPriceIndex_US!A52</f>
        <v>45352</v>
      </c>
      <c r="B52">
        <f>rawData_RentPriceIndex_US!B52</f>
        <v>506</v>
      </c>
      <c r="C52" t="s">
        <v>35</v>
      </c>
      <c r="D52" t="s">
        <v>22</v>
      </c>
      <c r="E52" s="8">
        <v>45352</v>
      </c>
      <c r="F52">
        <v>50</v>
      </c>
      <c r="G52">
        <v>504</v>
      </c>
      <c r="H52">
        <v>494</v>
      </c>
      <c r="I52" s="16">
        <f t="shared" si="0"/>
        <v>4.0917731943215475E-3</v>
      </c>
      <c r="J52" s="16">
        <f>(Processed_RentPrice_US_CA__2[[#This Row],[Value]]-B40)/B40</f>
        <v>2.3705043467001665E-2</v>
      </c>
      <c r="K52" s="7">
        <f>Processed_RentPrice_US_CA__2[[#This Row],[Value]]/B51 * 100</f>
        <v>100.40917731943215</v>
      </c>
      <c r="L52" s="7">
        <f>Processed_RentPrice_US_CA__2[[#This Row],[Value]]/B40 * 100</f>
        <v>102.37050434670016</v>
      </c>
      <c r="M52" cm="1">
        <f t="array" ref="M52">ROUND( Processed_RentPrice_US_CA__2[[#This Row],[Value]] / AVERAGE( _xlfn._xlws.FILTER(Processed_RentPrice_US_CA__2[Value], YEAR(Processed_RentPrice_US_CA__2[Date])=2020) ), 3) * 100</f>
        <v>108.3</v>
      </c>
      <c r="N52" s="16" cm="1">
        <f t="array" ref="N5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3.3491238541296653E-3</v>
      </c>
    </row>
    <row r="53" spans="1:14">
      <c r="A53" s="8">
        <f>rawData_RentPriceIndex_US!A53</f>
        <v>45383</v>
      </c>
      <c r="B53">
        <f>rawData_RentPriceIndex_US!B53</f>
        <v>504.92700000000002</v>
      </c>
      <c r="C53" t="s">
        <v>35</v>
      </c>
      <c r="D53" t="s">
        <v>22</v>
      </c>
      <c r="E53" s="8">
        <v>45383</v>
      </c>
      <c r="F53">
        <v>51</v>
      </c>
      <c r="G53">
        <v>506</v>
      </c>
      <c r="H53">
        <v>495</v>
      </c>
      <c r="I53" s="16">
        <f t="shared" si="0"/>
        <v>-2.1205533596837531E-3</v>
      </c>
      <c r="J53" s="16">
        <f>(Processed_RentPrice_US_CA__2[[#This Row],[Value]]-B41)/B41</f>
        <v>2.0962067292138505E-2</v>
      </c>
      <c r="K53" s="7">
        <f>Processed_RentPrice_US_CA__2[[#This Row],[Value]]/B52 * 100</f>
        <v>99.787944664031627</v>
      </c>
      <c r="L53" s="7">
        <f>Processed_RentPrice_US_CA__2[[#This Row],[Value]]/B41 * 100</f>
        <v>102.09620672921385</v>
      </c>
      <c r="M53" cm="1">
        <f t="array" ref="M53">ROUND( Processed_RentPrice_US_CA__2[[#This Row],[Value]] / AVERAGE( _xlfn._xlws.FILTER(Processed_RentPrice_US_CA__2[Value], YEAR(Processed_RentPrice_US_CA__2[Date])=2020) ), 3) * 100</f>
        <v>108.1</v>
      </c>
      <c r="N53" s="16" cm="1">
        <f t="array" ref="N5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1.2214684986051605E-3</v>
      </c>
    </row>
    <row r="54" spans="1:14">
      <c r="A54" s="8">
        <f>rawData_RentPriceIndex_US!A54</f>
        <v>45413</v>
      </c>
      <c r="B54">
        <f>rawData_RentPriceIndex_US!B54</f>
        <v>505.68599999999998</v>
      </c>
      <c r="C54" t="s">
        <v>35</v>
      </c>
      <c r="D54" t="s">
        <v>22</v>
      </c>
      <c r="E54" s="8">
        <v>45413</v>
      </c>
      <c r="F54">
        <v>52</v>
      </c>
      <c r="G54">
        <v>505</v>
      </c>
      <c r="H54">
        <v>495</v>
      </c>
      <c r="I54" s="16">
        <f t="shared" si="0"/>
        <v>1.5031875894930507E-3</v>
      </c>
      <c r="J54" s="16">
        <f>(Processed_RentPrice_US_CA__2[[#This Row],[Value]]-B42)/B42</f>
        <v>2.1833531697519216E-2</v>
      </c>
      <c r="K54" s="7">
        <f>Processed_RentPrice_US_CA__2[[#This Row],[Value]]/B53 * 100</f>
        <v>100.15031875894931</v>
      </c>
      <c r="L54" s="7">
        <f>Processed_RentPrice_US_CA__2[[#This Row],[Value]]/B42 * 100</f>
        <v>102.18335316975191</v>
      </c>
      <c r="M54" cm="1">
        <f t="array" ref="M54">ROUND( Processed_RentPrice_US_CA__2[[#This Row],[Value]] / AVERAGE( _xlfn._xlws.FILTER(Processed_RentPrice_US_CA__2[Value], YEAR(Processed_RentPrice_US_CA__2[Date])=2020) ), 3) * 100</f>
        <v>108.3</v>
      </c>
      <c r="N54" s="16" cm="1">
        <f t="array" ref="N5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2.7264921843861423E-3</v>
      </c>
    </row>
    <row r="55" spans="1:14">
      <c r="A55" s="8">
        <f>rawData_RentPriceIndex_US!A55</f>
        <v>45444</v>
      </c>
      <c r="B55">
        <f>rawData_RentPriceIndex_US!B55</f>
        <v>504.84100000000001</v>
      </c>
      <c r="C55" t="s">
        <v>35</v>
      </c>
      <c r="D55" t="s">
        <v>22</v>
      </c>
      <c r="E55" s="8">
        <v>45444</v>
      </c>
      <c r="F55">
        <v>53</v>
      </c>
      <c r="G55">
        <v>506</v>
      </c>
      <c r="H55">
        <v>502</v>
      </c>
      <c r="I55" s="16">
        <f t="shared" si="0"/>
        <v>-1.6709974173696137E-3</v>
      </c>
      <c r="J55" s="16">
        <f>(Processed_RentPrice_US_CA__2[[#This Row],[Value]]-B43)/B43</f>
        <v>6.2326345288351718E-3</v>
      </c>
      <c r="K55" s="7">
        <f>Processed_RentPrice_US_CA__2[[#This Row],[Value]]/B54 * 100</f>
        <v>99.832900258263038</v>
      </c>
      <c r="L55" s="7">
        <f>Processed_RentPrice_US_CA__2[[#This Row],[Value]]/B43 * 100</f>
        <v>100.62326345288352</v>
      </c>
      <c r="M55" cm="1">
        <f t="array" ref="M55">ROUND( Processed_RentPrice_US_CA__2[[#This Row],[Value]] / AVERAGE( _xlfn._xlws.FILTER(Processed_RentPrice_US_CA__2[Value], YEAR(Processed_RentPrice_US_CA__2[Date])=2020) ), 3) * 100</f>
        <v>108.1</v>
      </c>
      <c r="N55" s="16" cm="1">
        <f t="array" ref="N5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1.050938805618129E-3</v>
      </c>
    </row>
    <row r="56" spans="1:14">
      <c r="A56" s="8">
        <f>rawData_RentPriceIndex_US!A56</f>
        <v>45474</v>
      </c>
      <c r="B56">
        <f>rawData_RentPriceIndex_US!B56</f>
        <v>506.11</v>
      </c>
      <c r="C56" t="s">
        <v>35</v>
      </c>
      <c r="D56" t="s">
        <v>22</v>
      </c>
      <c r="E56" s="8">
        <v>45474</v>
      </c>
      <c r="F56">
        <v>54</v>
      </c>
      <c r="G56">
        <v>505</v>
      </c>
      <c r="H56">
        <v>502</v>
      </c>
      <c r="I56" s="16">
        <f t="shared" si="0"/>
        <v>2.5136627175685127E-3</v>
      </c>
      <c r="J56" s="16">
        <f>(Processed_RentPrice_US_CA__2[[#This Row],[Value]]-B44)/B44</f>
        <v>8.353970875662791E-3</v>
      </c>
      <c r="K56" s="7">
        <f>Processed_RentPrice_US_CA__2[[#This Row],[Value]]/B55 * 100</f>
        <v>100.25136627175686</v>
      </c>
      <c r="L56" s="7">
        <f>Processed_RentPrice_US_CA__2[[#This Row],[Value]]/B44 * 100</f>
        <v>100.83539708756628</v>
      </c>
      <c r="M56" cm="1">
        <f t="array" ref="M56">ROUND( Processed_RentPrice_US_CA__2[[#This Row],[Value]] / AVERAGE( _xlfn._xlws.FILTER(Processed_RentPrice_US_CA__2[Value], YEAR(Processed_RentPrice_US_CA__2[Date])=2020) ), 3) * 100</f>
        <v>108.4</v>
      </c>
      <c r="N56" s="16" cm="1">
        <f t="array" ref="N5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3.5672432288806899E-3</v>
      </c>
    </row>
    <row r="57" spans="1:14">
      <c r="A57" s="8">
        <f>rawData_RentPriceIndex_US!A57</f>
        <v>45505</v>
      </c>
      <c r="B57">
        <f>rawData_RentPriceIndex_US!B57</f>
        <v>508.72399999999999</v>
      </c>
      <c r="C57" t="s">
        <v>35</v>
      </c>
      <c r="D57" t="s">
        <v>22</v>
      </c>
      <c r="E57" s="8">
        <v>45505</v>
      </c>
      <c r="F57">
        <v>55</v>
      </c>
      <c r="G57">
        <v>506</v>
      </c>
      <c r="H57">
        <v>501</v>
      </c>
      <c r="I57" s="16">
        <f t="shared" si="0"/>
        <v>5.1648851040287207E-3</v>
      </c>
      <c r="J57" s="16">
        <f>(Processed_RentPrice_US_CA__2[[#This Row],[Value]]-B45)/B45</f>
        <v>1.4900599495266868E-2</v>
      </c>
      <c r="K57" s="7">
        <f>Processed_RentPrice_US_CA__2[[#This Row],[Value]]/B56 * 100</f>
        <v>100.51648851040287</v>
      </c>
      <c r="L57" s="7">
        <f>Processed_RentPrice_US_CA__2[[#This Row],[Value]]/B45 * 100</f>
        <v>101.4900599495267</v>
      </c>
      <c r="M57" cm="1">
        <f t="array" ref="M57">ROUND( Processed_RentPrice_US_CA__2[[#This Row],[Value]] / AVERAGE( _xlfn._xlws.FILTER(Processed_RentPrice_US_CA__2[Value], YEAR(Processed_RentPrice_US_CA__2[Date])=2020) ), 3) * 100</f>
        <v>108.89999999999999</v>
      </c>
      <c r="N57" s="16" cm="1">
        <f t="array" ref="N5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8.7505527343245681E-3</v>
      </c>
    </row>
    <row r="58" spans="1:14">
      <c r="A58" s="8">
        <f>rawData_RentPriceIndex_US!A58</f>
        <v>45536</v>
      </c>
      <c r="B58">
        <f>rawData_RentPriceIndex_US!B58</f>
        <v>510.60300000000001</v>
      </c>
      <c r="C58" t="s">
        <v>35</v>
      </c>
      <c r="D58" t="s">
        <v>22</v>
      </c>
      <c r="E58" s="8">
        <v>45536</v>
      </c>
      <c r="F58">
        <v>56</v>
      </c>
      <c r="G58">
        <v>509</v>
      </c>
      <c r="H58">
        <v>503</v>
      </c>
      <c r="I58" s="16">
        <f t="shared" si="0"/>
        <v>3.6935548548918846E-3</v>
      </c>
      <c r="J58" s="16">
        <f>(Processed_RentPrice_US_CA__2[[#This Row],[Value]]-B46)/B46</f>
        <v>1.5391866174286057E-2</v>
      </c>
      <c r="K58" s="7">
        <f>Processed_RentPrice_US_CA__2[[#This Row],[Value]]/B57 * 100</f>
        <v>100.36935548548919</v>
      </c>
      <c r="L58" s="7">
        <f>Processed_RentPrice_US_CA__2[[#This Row],[Value]]/B46 * 100</f>
        <v>101.5391866174286</v>
      </c>
      <c r="M58" cm="1">
        <f t="array" ref="M58">ROUND( Processed_RentPrice_US_CA__2[[#This Row],[Value]] / AVERAGE( _xlfn._xlws.FILTER(Processed_RentPrice_US_CA__2[Value], YEAR(Processed_RentPrice_US_CA__2[Date])=2020) ), 3) * 100</f>
        <v>109.3</v>
      </c>
      <c r="N58" s="16" cm="1">
        <f t="array" ref="N5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1.2476428235751458E-2</v>
      </c>
    </row>
    <row r="59" spans="1:14">
      <c r="A59" s="8">
        <f>rawData_RentPriceIndex_US!A59</f>
        <v>45566</v>
      </c>
      <c r="B59">
        <f>rawData_RentPriceIndex_US!B59</f>
        <v>512.78200000000004</v>
      </c>
      <c r="C59" t="s">
        <v>35</v>
      </c>
      <c r="D59" t="s">
        <v>22</v>
      </c>
      <c r="E59" s="8">
        <v>45566</v>
      </c>
      <c r="F59">
        <v>57</v>
      </c>
      <c r="G59">
        <v>511</v>
      </c>
      <c r="H59">
        <v>503</v>
      </c>
      <c r="I59" s="16">
        <f t="shared" si="0"/>
        <v>4.2675033245006986E-3</v>
      </c>
      <c r="J59" s="16">
        <f>(Processed_RentPrice_US_CA__2[[#This Row],[Value]]-B47)/B47</f>
        <v>2.020587872493676E-2</v>
      </c>
      <c r="K59" s="7">
        <f>Processed_RentPrice_US_CA__2[[#This Row],[Value]]/B58 * 100</f>
        <v>100.42675033245007</v>
      </c>
      <c r="L59" s="7">
        <f>Processed_RentPrice_US_CA__2[[#This Row],[Value]]/B47 * 100</f>
        <v>102.02058787249368</v>
      </c>
      <c r="M59" cm="1">
        <f t="array" ref="M59">ROUND( Processed_RentPrice_US_CA__2[[#This Row],[Value]] / AVERAGE( _xlfn._xlws.FILTER(Processed_RentPrice_US_CA__2[Value], YEAR(Processed_RentPrice_US_CA__2[Date])=2020) ), 3) * 100</f>
        <v>109.80000000000001</v>
      </c>
      <c r="N59" s="16" cm="1">
        <f t="array" ref="N5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1.6797174759226152E-2</v>
      </c>
    </row>
    <row r="60" spans="1:14">
      <c r="A60" s="8">
        <f>rawData_RentPriceIndex_US!A60</f>
        <v>45597</v>
      </c>
      <c r="B60">
        <f>rawData_RentPriceIndex_US!B60</f>
        <v>513.49400000000003</v>
      </c>
      <c r="C60" t="s">
        <v>35</v>
      </c>
      <c r="D60" t="s">
        <v>22</v>
      </c>
      <c r="E60" s="8">
        <v>45597</v>
      </c>
      <c r="F60">
        <v>58</v>
      </c>
      <c r="G60">
        <v>513</v>
      </c>
      <c r="H60">
        <v>504</v>
      </c>
      <c r="I60" s="16">
        <f t="shared" si="0"/>
        <v>1.3885042766711565E-3</v>
      </c>
      <c r="J60" s="16">
        <f>(Processed_RentPrice_US_CA__2[[#This Row],[Value]]-B48)/B48</f>
        <v>1.8142379011151188E-2</v>
      </c>
      <c r="K60" s="7">
        <f>Processed_RentPrice_US_CA__2[[#This Row],[Value]]/B59 * 100</f>
        <v>100.13885042766712</v>
      </c>
      <c r="L60" s="7">
        <f>Processed_RentPrice_US_CA__2[[#This Row],[Value]]/B48 * 100</f>
        <v>101.81423790111512</v>
      </c>
      <c r="M60" cm="1">
        <f t="array" ref="M60">ROUND( Processed_RentPrice_US_CA__2[[#This Row],[Value]] / AVERAGE( _xlfn._xlws.FILTER(Processed_RentPrice_US_CA__2[Value], YEAR(Processed_RentPrice_US_CA__2[Date])=2020) ), 3) * 100</f>
        <v>109.89999999999999</v>
      </c>
      <c r="N60" s="16" cm="1">
        <f t="array" ref="N6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1.8209001984886397E-2</v>
      </c>
    </row>
    <row r="61" spans="1:14">
      <c r="A61" s="8">
        <f>rawData_RentPriceIndex_US!A61</f>
        <v>45627</v>
      </c>
      <c r="B61">
        <f>rawData_RentPriceIndex_US!B61</f>
        <v>515.88599999999997</v>
      </c>
      <c r="C61" t="s">
        <v>35</v>
      </c>
      <c r="D61" t="s">
        <v>22</v>
      </c>
      <c r="E61" s="8">
        <v>45627</v>
      </c>
      <c r="F61">
        <v>59</v>
      </c>
      <c r="G61">
        <v>513</v>
      </c>
      <c r="H61">
        <v>503</v>
      </c>
      <c r="I61" s="16">
        <f t="shared" si="0"/>
        <v>4.658282277884335E-3</v>
      </c>
      <c r="J61" s="16">
        <f>(Processed_RentPrice_US_CA__2[[#This Row],[Value]]-B49)/B49</f>
        <v>2.4715806953319409E-2</v>
      </c>
      <c r="K61" s="7">
        <f>Processed_RentPrice_US_CA__2[[#This Row],[Value]]/B60 * 100</f>
        <v>100.46582822778842</v>
      </c>
      <c r="L61" s="7">
        <f>Processed_RentPrice_US_CA__2[[#This Row],[Value]]/B49 * 100</f>
        <v>102.47158069533194</v>
      </c>
      <c r="M61" cm="1">
        <f t="array" ref="M61">ROUND( Processed_RentPrice_US_CA__2[[#This Row],[Value]] / AVERAGE( _xlfn._xlws.FILTER(Processed_RentPrice_US_CA__2[Value], YEAR(Processed_RentPrice_US_CA__2[Date])=2020) ), 3) * 100</f>
        <v>110.5</v>
      </c>
      <c r="N61" s="16" cm="1">
        <f t="array" ref="N6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2.2952106934014838E-2</v>
      </c>
    </row>
    <row r="62" spans="1:14">
      <c r="A62" s="8">
        <f>rawData_RentPriceIndex_US!A62</f>
        <v>45658</v>
      </c>
      <c r="B62">
        <f>rawData_RentPriceIndex_US!B62</f>
        <v>517.58100000000002</v>
      </c>
      <c r="C62" t="s">
        <v>35</v>
      </c>
      <c r="D62" t="s">
        <v>22</v>
      </c>
      <c r="E62" s="8">
        <v>45658</v>
      </c>
      <c r="F62">
        <v>60</v>
      </c>
      <c r="G62">
        <v>516</v>
      </c>
      <c r="H62">
        <v>504</v>
      </c>
      <c r="I62" s="16">
        <f t="shared" si="0"/>
        <v>3.2856096114258775E-3</v>
      </c>
      <c r="J62" s="16">
        <f>(Processed_RentPrice_US_CA__2[[#This Row],[Value]]-B50)/B50</f>
        <v>2.6313128208585654E-2</v>
      </c>
      <c r="K62" s="7">
        <f>Processed_RentPrice_US_CA__2[[#This Row],[Value]]/B61 * 100</f>
        <v>100.3285609611426</v>
      </c>
      <c r="L62" s="7">
        <f>Processed_RentPrice_US_CA__2[[#This Row],[Value]]/B50 * 100</f>
        <v>102.63131282085855</v>
      </c>
      <c r="M62" cm="1">
        <f t="array" ref="M62">ROUND( Processed_RentPrice_US_CA__2[[#This Row],[Value]] / AVERAGE( _xlfn._xlws.FILTER(Processed_RentPrice_US_CA__2[Value], YEAR(Processed_RentPrice_US_CA__2[Date])=2020) ), 3) * 100</f>
        <v>110.80000000000001</v>
      </c>
      <c r="N62" s="16" cm="1">
        <f t="array" ref="N6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63" spans="1:14">
      <c r="A63" s="8">
        <f>rawData_RentPriceIndex_US!A63</f>
        <v>45689</v>
      </c>
      <c r="B63">
        <f>rawData_RentPriceIndex_US!B63</f>
        <v>517.18299999999999</v>
      </c>
      <c r="C63" t="s">
        <v>35</v>
      </c>
      <c r="D63" t="s">
        <v>22</v>
      </c>
      <c r="E63" s="8">
        <v>45689</v>
      </c>
      <c r="F63">
        <v>61</v>
      </c>
      <c r="G63">
        <v>518</v>
      </c>
      <c r="H63">
        <v>504</v>
      </c>
      <c r="I63" s="16">
        <f t="shared" si="0"/>
        <v>-7.6896176637091494E-4</v>
      </c>
      <c r="J63" s="16">
        <f>(Processed_RentPrice_US_CA__2[[#This Row],[Value]]-B51)/B51</f>
        <v>2.6282995130353346E-2</v>
      </c>
      <c r="K63" s="7">
        <f>Processed_RentPrice_US_CA__2[[#This Row],[Value]]/B62 * 100</f>
        <v>99.923103823362908</v>
      </c>
      <c r="L63" s="7">
        <f>Processed_RentPrice_US_CA__2[[#This Row],[Value]]/B51 * 100</f>
        <v>102.62829951303533</v>
      </c>
      <c r="M63" cm="1">
        <f t="array" ref="M63">ROUND( Processed_RentPrice_US_CA__2[[#This Row],[Value]] / AVERAGE( _xlfn._xlws.FILTER(Processed_RentPrice_US_CA__2[Value], YEAR(Processed_RentPrice_US_CA__2[Date])=2020) ), 3) * 100</f>
        <v>110.7</v>
      </c>
      <c r="N63" s="16" cm="1">
        <f t="array" ref="N6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-7.6896176637086811E-4</v>
      </c>
    </row>
    <row r="64" spans="1:14">
      <c r="A64" s="8">
        <f>rawData_RentPriceIndex_US!A64</f>
        <v>45717</v>
      </c>
      <c r="B64">
        <f>rawData_RentPriceIndex_US!B64</f>
        <v>518.49300000000005</v>
      </c>
      <c r="C64" t="s">
        <v>35</v>
      </c>
      <c r="D64" t="s">
        <v>22</v>
      </c>
      <c r="E64" s="8">
        <v>45717</v>
      </c>
      <c r="F64">
        <v>62</v>
      </c>
      <c r="G64">
        <v>517</v>
      </c>
      <c r="H64">
        <v>506</v>
      </c>
      <c r="I64" s="16">
        <f t="shared" si="0"/>
        <v>2.5329525525782152E-3</v>
      </c>
      <c r="J64" s="16">
        <f>(Processed_RentPrice_US_CA__2[[#This Row],[Value]]-B52)/B52</f>
        <v>2.4689723320158206E-2</v>
      </c>
      <c r="K64" s="7">
        <f>Processed_RentPrice_US_CA__2[[#This Row],[Value]]/B63 * 100</f>
        <v>100.25329525525781</v>
      </c>
      <c r="L64" s="7">
        <f>Processed_RentPrice_US_CA__2[[#This Row],[Value]]/B52 * 100</f>
        <v>102.46897233201582</v>
      </c>
      <c r="M64" cm="1">
        <f t="array" ref="M64">ROUND( Processed_RentPrice_US_CA__2[[#This Row],[Value]] / AVERAGE( _xlfn._xlws.FILTER(Processed_RentPrice_US_CA__2[Value], YEAR(Processed_RentPrice_US_CA__2[Date])=2020) ), 3) * 100</f>
        <v>111.00000000000001</v>
      </c>
      <c r="N64" s="16" cm="1">
        <f t="array" ref="N6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1.7620430425382416E-3</v>
      </c>
    </row>
    <row r="65" spans="1:14">
      <c r="A65" s="8">
        <f>rawData_RentPriceIndex_US!A65</f>
        <v>45748</v>
      </c>
      <c r="B65">
        <f>rawData_RentPriceIndex_US!B65</f>
        <v>518.36599999999999</v>
      </c>
      <c r="C65" t="s">
        <v>35</v>
      </c>
      <c r="D65" t="s">
        <v>22</v>
      </c>
      <c r="E65" s="8">
        <v>45748</v>
      </c>
      <c r="F65">
        <v>63</v>
      </c>
      <c r="G65">
        <v>518</v>
      </c>
      <c r="H65">
        <v>505</v>
      </c>
      <c r="I65" s="16">
        <f t="shared" si="0"/>
        <v>-2.4494062600665078E-4</v>
      </c>
      <c r="J65" s="16">
        <f>(Processed_RentPrice_US_CA__2[[#This Row],[Value]]-B53)/B53</f>
        <v>2.6615728610274284E-2</v>
      </c>
      <c r="K65" s="7">
        <f>Processed_RentPrice_US_CA__2[[#This Row],[Value]]/B64 * 100</f>
        <v>99.975505937399333</v>
      </c>
      <c r="L65" s="7">
        <f>Processed_RentPrice_US_CA__2[[#This Row],[Value]]/B53 * 100</f>
        <v>102.66157286102744</v>
      </c>
      <c r="M65" cm="1">
        <f t="array" ref="M65">ROUND( Processed_RentPrice_US_CA__2[[#This Row],[Value]] / AVERAGE( _xlfn._xlws.FILTER(Processed_RentPrice_US_CA__2[Value], YEAR(Processed_RentPrice_US_CA__2[Date])=2020) ), 3) * 100</f>
        <v>111.00000000000001</v>
      </c>
      <c r="N65" s="16" cm="1">
        <f t="array" ref="N6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1.5166708206058033E-3</v>
      </c>
    </row>
    <row r="66" spans="1:14">
      <c r="A66" s="8">
        <f>rawData_RentPriceIndex_US!A66</f>
        <v>45778</v>
      </c>
      <c r="B66">
        <f>rawData_RentPriceIndex_US!B66</f>
        <v>518.38599999999997</v>
      </c>
      <c r="C66" t="s">
        <v>35</v>
      </c>
      <c r="D66" t="s">
        <v>22</v>
      </c>
      <c r="E66" s="8">
        <v>45778</v>
      </c>
      <c r="F66">
        <v>64</v>
      </c>
      <c r="G66">
        <v>518</v>
      </c>
      <c r="H66">
        <v>506</v>
      </c>
      <c r="I66" s="16">
        <f t="shared" si="0"/>
        <v>3.8582777419780255E-5</v>
      </c>
      <c r="J66" s="16">
        <f>(Processed_RentPrice_US_CA__2[[#This Row],[Value]]-B54)/B54</f>
        <v>2.5114399053958365E-2</v>
      </c>
      <c r="K66" s="7">
        <f>Processed_RentPrice_US_CA__2[[#This Row],[Value]]/B65 * 100</f>
        <v>100.00385827774198</v>
      </c>
      <c r="L66" s="7">
        <f>Processed_RentPrice_US_CA__2[[#This Row],[Value]]/B54 * 100</f>
        <v>102.51143990539585</v>
      </c>
      <c r="M66" cm="1">
        <f t="array" ref="M66">ROUND( Processed_RentPrice_US_CA__2[[#This Row],[Value]] / AVERAGE( _xlfn._xlws.FILTER(Processed_RentPrice_US_CA__2[Value], YEAR(Processed_RentPrice_US_CA__2[Date])=2020) ), 3) * 100</f>
        <v>111.00000000000001</v>
      </c>
      <c r="N66" s="16" cm="1">
        <f t="array" ref="N6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1.5553121153981664E-3</v>
      </c>
    </row>
    <row r="67" spans="1:14">
      <c r="A67" s="8">
        <f>rawData_RentPriceIndex_US!A67</f>
        <v>45809</v>
      </c>
      <c r="B67">
        <f>rawData_RentPriceIndex_US!B67</f>
        <v>519.44899999999996</v>
      </c>
      <c r="C67" t="s">
        <v>35</v>
      </c>
      <c r="D67" t="s">
        <v>22</v>
      </c>
      <c r="E67" s="8">
        <v>45809</v>
      </c>
      <c r="F67">
        <v>65</v>
      </c>
      <c r="G67">
        <v>518</v>
      </c>
      <c r="H67">
        <v>505</v>
      </c>
      <c r="I67" s="16">
        <f t="shared" si="0"/>
        <v>2.0505955021933235E-3</v>
      </c>
      <c r="J67" s="16">
        <f>(Processed_RentPrice_US_CA__2[[#This Row],[Value]]-B55)/B55</f>
        <v>2.8935843166462208E-2</v>
      </c>
      <c r="K67" s="7">
        <f>Processed_RentPrice_US_CA__2[[#This Row],[Value]]/B66 * 100</f>
        <v>100.20505955021932</v>
      </c>
      <c r="L67" s="7">
        <f>Processed_RentPrice_US_CA__2[[#This Row],[Value]]/B55 * 100</f>
        <v>102.89358431664621</v>
      </c>
      <c r="M67" cm="1">
        <f t="array" ref="M67">ROUND( Processed_RentPrice_US_CA__2[[#This Row],[Value]] / AVERAGE( _xlfn._xlws.FILTER(Processed_RentPrice_US_CA__2[Value], YEAR(Processed_RentPrice_US_CA__2[Date])=2020) ), 3) * 100</f>
        <v>111.20000000000002</v>
      </c>
      <c r="N67" s="16" cm="1">
        <f t="array" ref="N6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3.609096933619993E-3</v>
      </c>
    </row>
    <row r="68" spans="1:14">
      <c r="A68" s="8">
        <f>rawData_RentPriceIndex_US!A68</f>
        <v>45839</v>
      </c>
      <c r="B68">
        <f>rawData_RentPriceIndex_US!B68</f>
        <v>518.55600000000004</v>
      </c>
      <c r="C68" t="s">
        <v>35</v>
      </c>
      <c r="D68" t="s">
        <v>22</v>
      </c>
      <c r="E68" s="8">
        <v>45839</v>
      </c>
      <c r="F68">
        <v>66</v>
      </c>
      <c r="G68">
        <v>519</v>
      </c>
      <c r="H68">
        <v>506</v>
      </c>
      <c r="I68" s="16">
        <f t="shared" ref="I68:I71" si="1">(B68-B67)/B67</f>
        <v>-1.7191293081706106E-3</v>
      </c>
      <c r="J68" s="16">
        <f>(Processed_RentPrice_US_CA__2[[#This Row],[Value]]-B56)/B56</f>
        <v>2.4591491968149269E-2</v>
      </c>
      <c r="K68" s="7">
        <f>Processed_RentPrice_US_CA__2[[#This Row],[Value]]/B67 * 100</f>
        <v>99.828087069182942</v>
      </c>
      <c r="L68" s="7">
        <f>Processed_RentPrice_US_CA__2[[#This Row],[Value]]/B56 * 100</f>
        <v>102.45914919681493</v>
      </c>
      <c r="M68" cm="1">
        <f t="array" ref="M68">ROUND( Processed_RentPrice_US_CA__2[[#This Row],[Value]] / AVERAGE( _xlfn._xlws.FILTER(Processed_RentPrice_US_CA__2[Value], YEAR(Processed_RentPrice_US_CA__2[Date])=2020) ), 3) * 100</f>
        <v>111.00000000000001</v>
      </c>
      <c r="N68" s="16" cm="1">
        <f t="array" ref="N68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1.8837631211348072E-3</v>
      </c>
    </row>
    <row r="69" spans="1:14">
      <c r="A69" s="8">
        <f>rawData_RentPriceIndex_US!A69</f>
        <v>45870</v>
      </c>
      <c r="B69">
        <f>rawData_RentPriceIndex_US!B69</f>
        <v>520.14</v>
      </c>
      <c r="C69" t="s">
        <v>35</v>
      </c>
      <c r="D69" t="s">
        <v>22</v>
      </c>
      <c r="E69" s="8">
        <v>45870</v>
      </c>
      <c r="F69">
        <v>67</v>
      </c>
      <c r="G69">
        <v>519</v>
      </c>
      <c r="H69">
        <v>509</v>
      </c>
      <c r="I69" s="16">
        <f t="shared" si="1"/>
        <v>3.0546363362875875E-3</v>
      </c>
      <c r="J69" s="16">
        <f>(Processed_RentPrice_US_CA__2[[#This Row],[Value]]-B57)/B57</f>
        <v>2.2440458873573876E-2</v>
      </c>
      <c r="K69" s="7">
        <f>Processed_RentPrice_US_CA__2[[#This Row],[Value]]/B68 * 100</f>
        <v>100.30546363362876</v>
      </c>
      <c r="L69" s="7">
        <f>Processed_RentPrice_US_CA__2[[#This Row],[Value]]/B57 * 100</f>
        <v>102.24404588735739</v>
      </c>
      <c r="M69" cm="1">
        <f t="array" ref="M69">ROUND( Processed_RentPrice_US_CA__2[[#This Row],[Value]] / AVERAGE( _xlfn._xlws.FILTER(Processed_RentPrice_US_CA__2[Value], YEAR(Processed_RentPrice_US_CA__2[Date])=2020) ), 3) * 100</f>
        <v>111.4</v>
      </c>
      <c r="N69" s="16" cm="1">
        <f t="array" ref="N69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4.9441536687011567E-3</v>
      </c>
    </row>
    <row r="70" spans="1:14">
      <c r="A70" s="8">
        <f>rawData_RentPriceIndex_US!A70</f>
        <v>45901</v>
      </c>
      <c r="B70">
        <f>rawData_RentPriceIndex_US!B70</f>
        <v>521.37699999999995</v>
      </c>
      <c r="E70" s="8"/>
      <c r="I70" s="16">
        <f t="shared" si="1"/>
        <v>2.3782058676509524E-3</v>
      </c>
      <c r="J70" s="16">
        <f>(Processed_RentPrice_US_CA__2[[#This Row],[Value]]-B58)/B58</f>
        <v>2.1100541908292633E-2</v>
      </c>
      <c r="K70" s="7">
        <f>Processed_RentPrice_US_CA__2[[#This Row],[Value]]/B69 * 100</f>
        <v>100.2378205867651</v>
      </c>
      <c r="L70" s="7">
        <f>Processed_RentPrice_US_CA__2[[#This Row],[Value]]/B58 * 100</f>
        <v>102.11005419082926</v>
      </c>
      <c r="M70" cm="1">
        <f t="array" ref="M70">ROUND( Processed_RentPrice_US_CA__2[[#This Row],[Value]] / AVERAGE( _xlfn._xlws.FILTER(Processed_RentPrice_US_CA__2[Value], YEAR(Processed_RentPrice_US_CA__2[Date])=2020) ), 3) * 100</f>
        <v>111.60000000000001</v>
      </c>
      <c r="N70" s="16" cm="1">
        <f t="array" ref="N70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7.3341177516175193E-3</v>
      </c>
    </row>
    <row r="71" spans="1:14">
      <c r="A71" s="8">
        <f>rawData_RentPriceIndex_US!A71</f>
        <v>45931</v>
      </c>
      <c r="B71">
        <f>rawData_RentPriceIndex_US!B71</f>
        <v>521.37699999999995</v>
      </c>
      <c r="C71" t="s">
        <v>35</v>
      </c>
      <c r="D71" t="s">
        <v>22</v>
      </c>
      <c r="E71" s="8">
        <v>45901</v>
      </c>
      <c r="F71">
        <v>68</v>
      </c>
      <c r="G71">
        <v>519.66666666666697</v>
      </c>
      <c r="H71">
        <v>510.66666666666703</v>
      </c>
      <c r="I71" s="16">
        <f t="shared" si="1"/>
        <v>0</v>
      </c>
      <c r="J71" s="16">
        <f>(Processed_RentPrice_US_CA__2[[#This Row],[Value]]-B59)/B59</f>
        <v>1.6761508789309907E-2</v>
      </c>
      <c r="K71" s="7">
        <f>Processed_RentPrice_US_CA__2[[#This Row],[Value]]/B70 * 100</f>
        <v>100</v>
      </c>
      <c r="L71" s="7">
        <f>Processed_RentPrice_US_CA__2[[#This Row],[Value]]/B59 * 100</f>
        <v>101.67615087893098</v>
      </c>
      <c r="M71" cm="1">
        <f t="array" ref="M71">ROUND( Processed_RentPrice_US_CA__2[[#This Row],[Value]] / AVERAGE( _xlfn._xlws.FILTER(Processed_RentPrice_US_CA__2[Value], YEAR(Processed_RentPrice_US_CA__2[Date])=2020) ), 3) * 100</f>
        <v>111.60000000000001</v>
      </c>
      <c r="N71" s="16" cm="1">
        <f t="array" ref="N71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7.3341177516175193E-3</v>
      </c>
    </row>
    <row r="72" spans="1:14">
      <c r="A72" s="8">
        <f>rawData_RentPriceIndex_US!A72</f>
        <v>45962</v>
      </c>
      <c r="B72">
        <f>rawData_RentPriceIndex_US!B72</f>
        <v>522.02599999999995</v>
      </c>
      <c r="C72" t="s">
        <v>35</v>
      </c>
      <c r="D72" t="s">
        <v>22</v>
      </c>
      <c r="E72" s="8">
        <v>45931</v>
      </c>
      <c r="F72">
        <v>69</v>
      </c>
      <c r="G72">
        <v>520.16666666666697</v>
      </c>
      <c r="H72">
        <v>512.66666666666697</v>
      </c>
      <c r="I72" s="16">
        <f t="shared" ref="I72:I77" si="2">(B72-B71)/B71</f>
        <v>1.2447806481682179E-3</v>
      </c>
      <c r="J72" s="16">
        <f>(Processed_RentPrice_US_CA__2[[#This Row],[Value]]-B60)/B60</f>
        <v>1.6615578760413804E-2</v>
      </c>
      <c r="K72" s="7">
        <f>Processed_RentPrice_US_CA__2[[#This Row],[Value]]/B71 * 100</f>
        <v>100.12447806481681</v>
      </c>
      <c r="L72" s="7">
        <f>Processed_RentPrice_US_CA__2[[#This Row],[Value]]/B60 * 100</f>
        <v>101.66155787604139</v>
      </c>
      <c r="M72" cm="1">
        <f t="array" ref="M72">ROUND( Processed_RentPrice_US_CA__2[[#This Row],[Value]] / AVERAGE( _xlfn._xlws.FILTER(Processed_RentPrice_US_CA__2[Value], YEAR(Processed_RentPrice_US_CA__2[Date])=2020) ), 3) * 100</f>
        <v>111.80000000000001</v>
      </c>
      <c r="N72" s="16" cm="1">
        <f t="array" ref="N72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8.588027767634232E-3</v>
      </c>
    </row>
    <row r="73" spans="1:14">
      <c r="A73" s="8">
        <f>rawData_RentPriceIndex_US!A73</f>
        <v>45992</v>
      </c>
      <c r="B73">
        <f>rawData_RentPriceIndex_US!B73</f>
        <v>524.77700000000004</v>
      </c>
      <c r="C73" t="s">
        <v>35</v>
      </c>
      <c r="D73" t="s">
        <v>22</v>
      </c>
      <c r="E73" s="8">
        <v>45962</v>
      </c>
      <c r="F73">
        <v>70</v>
      </c>
      <c r="G73">
        <v>520.66666666666697</v>
      </c>
      <c r="H73">
        <v>514.66666666666697</v>
      </c>
      <c r="I73" s="16">
        <f t="shared" si="2"/>
        <v>5.2698524594562155E-3</v>
      </c>
      <c r="J73" s="16">
        <f>(Processed_RentPrice_US_CA__2[[#This Row],[Value]]-B61)/B61</f>
        <v>1.7234427761172191E-2</v>
      </c>
      <c r="K73" s="7">
        <f>Processed_RentPrice_US_CA__2[[#This Row],[Value]]/B72 * 100</f>
        <v>100.52698524594564</v>
      </c>
      <c r="L73" s="7">
        <f>Processed_RentPrice_US_CA__2[[#This Row],[Value]]/B61 * 100</f>
        <v>101.72344277611722</v>
      </c>
      <c r="M73" cm="1">
        <f t="array" ref="M73">ROUND( Processed_RentPrice_US_CA__2[[#This Row],[Value]] / AVERAGE( _xlfn._xlws.FILTER(Processed_RentPrice_US_CA__2[Value], YEAR(Processed_RentPrice_US_CA__2[Date])=2020) ), 3) * 100</f>
        <v>112.4</v>
      </c>
      <c r="N73" s="16" cm="1">
        <f t="array" ref="N73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1.3903137866343673E-2</v>
      </c>
    </row>
    <row r="74" spans="1:14">
      <c r="A74" s="8">
        <f>rawData_RentPriceIndex_US!A74</f>
        <v>46023</v>
      </c>
      <c r="B74">
        <f>rawData_RentPriceIndex_US!B74</f>
        <v>526.399</v>
      </c>
      <c r="E74" s="8"/>
      <c r="I74" s="16">
        <f t="shared" si="2"/>
        <v>3.0908366791988925E-3</v>
      </c>
      <c r="J74" s="16">
        <f>(Processed_RentPrice_US_CA__2[[#This Row],[Value]]-B62)/B62</f>
        <v>1.7036946874015822E-2</v>
      </c>
      <c r="K74" s="7">
        <f>Processed_RentPrice_US_CA__2[[#This Row],[Value]]/B73 * 100</f>
        <v>100.30908366791988</v>
      </c>
      <c r="L74" s="7">
        <f>Processed_RentPrice_US_CA__2[[#This Row],[Value]]/B62 * 100</f>
        <v>101.70369468740159</v>
      </c>
      <c r="M74" cm="1">
        <f t="array" ref="M74">ROUND( Processed_RentPrice_US_CA__2[[#This Row],[Value]] / AVERAGE( _xlfn._xlws.FILTER(Processed_RentPrice_US_CA__2[Value], YEAR(Processed_RentPrice_US_CA__2[Date])=2020) ), 3) * 100</f>
        <v>112.7</v>
      </c>
      <c r="N74" s="16" cm="1">
        <f t="array" ref="N74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0</v>
      </c>
    </row>
    <row r="75" spans="1:14">
      <c r="A75" s="8">
        <f>rawData_RentPriceIndex_US!A75</f>
        <v>46054</v>
      </c>
      <c r="B75">
        <f>rawData_RentPriceIndex_US!B75</f>
        <v>527.20100000000002</v>
      </c>
      <c r="C75" t="s">
        <v>35</v>
      </c>
      <c r="D75" t="s">
        <v>22</v>
      </c>
      <c r="E75" s="8">
        <v>45992</v>
      </c>
      <c r="F75">
        <v>71</v>
      </c>
      <c r="G75">
        <v>521.16666666666697</v>
      </c>
      <c r="H75">
        <v>516.66666666666697</v>
      </c>
      <c r="I75" s="16">
        <f t="shared" si="2"/>
        <v>1.5235591253023293E-3</v>
      </c>
      <c r="J75" s="16">
        <f>(Processed_RentPrice_US_CA__2[[#This Row],[Value]]-B63)/B63</f>
        <v>1.9370319596738541E-2</v>
      </c>
      <c r="K75" s="7">
        <f>Processed_RentPrice_US_CA__2[[#This Row],[Value]]/B74 * 100</f>
        <v>100.15235591253023</v>
      </c>
      <c r="L75" s="7">
        <f>Processed_RentPrice_US_CA__2[[#This Row],[Value]]/B63 * 100</f>
        <v>101.93703195967385</v>
      </c>
      <c r="M75" cm="1">
        <f t="array" ref="M75">ROUND( Processed_RentPrice_US_CA__2[[#This Row],[Value]] / AVERAGE( _xlfn._xlws.FILTER(Processed_RentPrice_US_CA__2[Value], YEAR(Processed_RentPrice_US_CA__2[Date])=2020) ), 3) * 100</f>
        <v>112.9</v>
      </c>
      <c r="N75" s="16" cm="1">
        <f t="array" ref="N75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1.5235591253022207E-3</v>
      </c>
    </row>
    <row r="76" spans="1:14">
      <c r="A76" s="8">
        <f>rawData_RentPriceIndex_US!A76</f>
        <v>46082</v>
      </c>
      <c r="B76">
        <f>rawData_RentPriceIndex_US!B76</f>
        <v>528.14700000000005</v>
      </c>
      <c r="C76" t="s">
        <v>35</v>
      </c>
      <c r="D76" t="s">
        <v>22</v>
      </c>
      <c r="E76" s="8">
        <v>46023</v>
      </c>
      <c r="F76">
        <v>72</v>
      </c>
      <c r="G76">
        <v>521.66666666666697</v>
      </c>
      <c r="H76">
        <v>518.66666666666697</v>
      </c>
      <c r="I76" s="16">
        <f t="shared" si="2"/>
        <v>1.7943820288657008E-3</v>
      </c>
      <c r="J76" s="16">
        <f>(Processed_RentPrice_US_CA__2[[#This Row],[Value]]-B64)/B64</f>
        <v>1.8619344909188738E-2</v>
      </c>
      <c r="K76" s="7">
        <f>Processed_RentPrice_US_CA__2[[#This Row],[Value]]/B75 * 100</f>
        <v>100.17943820288657</v>
      </c>
      <c r="L76" s="7">
        <f>Processed_RentPrice_US_CA__2[[#This Row],[Value]]/B64 * 100</f>
        <v>101.86193449091887</v>
      </c>
      <c r="M76" cm="1">
        <f t="array" ref="M76">ROUND( Processed_RentPrice_US_CA__2[[#This Row],[Value]] / AVERAGE( _xlfn._xlws.FILTER(Processed_RentPrice_US_CA__2[Value], YEAR(Processed_RentPrice_US_CA__2[Date])=2020) ), 3) * 100</f>
        <v>113.1</v>
      </c>
      <c r="N76" s="16" cm="1">
        <f t="array" ref="N76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3.3206750012824138E-3</v>
      </c>
    </row>
    <row r="77" spans="1:14">
      <c r="A77" s="8">
        <f>rawData_RentPriceIndex_US!A77</f>
        <v>46113</v>
      </c>
      <c r="B77">
        <f>rawData_RentPriceIndex_US!B77</f>
        <v>532.15300000000002</v>
      </c>
      <c r="C77" t="s">
        <v>35</v>
      </c>
      <c r="D77" t="s">
        <v>22</v>
      </c>
      <c r="E77" s="8">
        <v>46054</v>
      </c>
      <c r="F77">
        <v>73</v>
      </c>
      <c r="G77">
        <v>522.16666666666697</v>
      </c>
      <c r="H77">
        <v>520.66666666666697</v>
      </c>
      <c r="I77" s="16">
        <f t="shared" si="2"/>
        <v>7.5850094765282606E-3</v>
      </c>
      <c r="J77" s="16">
        <f>(Processed_RentPrice_US_CA__2[[#This Row],[Value]]-B65)/B65</f>
        <v>2.6597037614349773E-2</v>
      </c>
      <c r="K77" s="7">
        <f>Processed_RentPrice_US_CA__2[[#This Row],[Value]]/B76 * 100</f>
        <v>100.75850094765282</v>
      </c>
      <c r="L77" s="7">
        <f>Processed_RentPrice_US_CA__2[[#This Row],[Value]]/B65 * 100</f>
        <v>102.65970376143498</v>
      </c>
      <c r="M77" cm="1">
        <f t="array" ref="M77">ROUND( Processed_RentPrice_US_CA__2[[#This Row],[Value]] / AVERAGE( _xlfn._xlws.FILTER(Processed_RentPrice_US_CA__2[Value], YEAR(Processed_RentPrice_US_CA__2[Date])=2020) ), 3) * 100</f>
        <v>113.9</v>
      </c>
      <c r="N77" s="16" cm="1">
        <f t="array" ref="N77" xml:space="preserve"> Processed_RentPrice_US_CA__2[[#This Row],[Value]] / _xlfn.XLOOKUP(MIN(_xlfn._xlws.FILTER(Processed_RentPrice_US_CA__2[Date], YEAR(Processed_RentPrice_US_CA__2[Date])=YEAR(Processed_RentPrice_US_CA__2[[#This Row],[Date]]))), Processed_RentPrice_US_CA__2[Date], Processed_RentPrice_US_CA__2[Value]) - 1</f>
        <v>1.0930871829163857E-2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CA72-8BFE-AE41-A63E-49ECCE7478F1}">
  <dimension ref="A1:E79"/>
  <sheetViews>
    <sheetView topLeftCell="A67" workbookViewId="0">
      <selection activeCell="E79" sqref="E79"/>
    </sheetView>
  </sheetViews>
  <sheetFormatPr defaultColWidth="10.78125" defaultRowHeight="27.5"/>
  <cols>
    <col min="1" max="1" width="10.5625" style="6"/>
    <col min="2" max="2" width="10.5625" style="7"/>
    <col min="4" max="5" width="15.5625" customWidth="1"/>
  </cols>
  <sheetData>
    <row r="1" spans="1:5">
      <c r="A1" s="6" t="s">
        <v>15</v>
      </c>
      <c r="B1" s="7" t="s">
        <v>17</v>
      </c>
      <c r="C1" t="s">
        <v>21</v>
      </c>
      <c r="D1" t="s">
        <v>19</v>
      </c>
      <c r="E1" s="5" t="s">
        <v>27</v>
      </c>
    </row>
    <row r="2" spans="1:5">
      <c r="A2" s="6">
        <v>43831</v>
      </c>
      <c r="B2" s="7">
        <v>54914</v>
      </c>
      <c r="C2" t="s">
        <v>25</v>
      </c>
      <c r="D2" t="s">
        <v>23</v>
      </c>
      <c r="E2" s="5">
        <v>43831</v>
      </c>
    </row>
    <row r="3" spans="1:5">
      <c r="A3" s="6">
        <v>43862</v>
      </c>
      <c r="B3" s="9">
        <v>55088</v>
      </c>
      <c r="C3" t="s">
        <v>25</v>
      </c>
      <c r="D3" t="s">
        <v>23</v>
      </c>
      <c r="E3" s="5">
        <v>43862</v>
      </c>
    </row>
    <row r="4" spans="1:5">
      <c r="A4" s="6">
        <v>43891</v>
      </c>
      <c r="B4" s="9">
        <v>55251</v>
      </c>
      <c r="C4" t="s">
        <v>25</v>
      </c>
      <c r="D4" t="s">
        <v>23</v>
      </c>
      <c r="E4" s="5">
        <v>43891</v>
      </c>
    </row>
    <row r="5" spans="1:5">
      <c r="A5" s="6">
        <v>43922</v>
      </c>
      <c r="B5" s="9">
        <v>55396</v>
      </c>
      <c r="C5" t="s">
        <v>25</v>
      </c>
      <c r="D5" t="s">
        <v>23</v>
      </c>
      <c r="E5" s="5">
        <v>43922</v>
      </c>
    </row>
    <row r="6" spans="1:5">
      <c r="A6" s="6">
        <v>43952</v>
      </c>
      <c r="B6" s="9">
        <v>55545</v>
      </c>
      <c r="C6" t="s">
        <v>25</v>
      </c>
      <c r="D6" t="s">
        <v>23</v>
      </c>
      <c r="E6" s="5">
        <v>43952</v>
      </c>
    </row>
    <row r="7" spans="1:5">
      <c r="A7" s="6">
        <v>43983</v>
      </c>
      <c r="B7" s="9">
        <v>55733</v>
      </c>
      <c r="C7" t="s">
        <v>25</v>
      </c>
      <c r="D7" t="s">
        <v>23</v>
      </c>
      <c r="E7" s="5">
        <v>43983</v>
      </c>
    </row>
    <row r="8" spans="1:5">
      <c r="A8" s="6">
        <v>44013</v>
      </c>
      <c r="B8" s="9">
        <v>56033</v>
      </c>
      <c r="C8" t="s">
        <v>25</v>
      </c>
      <c r="D8" t="s">
        <v>23</v>
      </c>
      <c r="E8" s="5">
        <v>44013</v>
      </c>
    </row>
    <row r="9" spans="1:5">
      <c r="A9" s="6">
        <v>44044</v>
      </c>
      <c r="B9" s="9">
        <v>56142</v>
      </c>
      <c r="C9" t="s">
        <v>25</v>
      </c>
      <c r="D9" t="s">
        <v>23</v>
      </c>
      <c r="E9" s="5">
        <v>44044</v>
      </c>
    </row>
    <row r="10" spans="1:5">
      <c r="A10" s="6">
        <v>44075</v>
      </c>
      <c r="B10" s="9">
        <v>56286</v>
      </c>
      <c r="C10" t="s">
        <v>25</v>
      </c>
      <c r="D10" t="s">
        <v>23</v>
      </c>
      <c r="E10" s="5">
        <v>44075</v>
      </c>
    </row>
    <row r="11" spans="1:5">
      <c r="A11" s="6">
        <v>44105</v>
      </c>
      <c r="B11" s="9">
        <v>56443</v>
      </c>
      <c r="C11" t="s">
        <v>25</v>
      </c>
      <c r="D11" t="s">
        <v>23</v>
      </c>
      <c r="E11" s="5">
        <v>44105</v>
      </c>
    </row>
    <row r="12" spans="1:5">
      <c r="A12" s="6">
        <v>44136</v>
      </c>
      <c r="B12" s="9">
        <v>56600</v>
      </c>
      <c r="C12" t="s">
        <v>25</v>
      </c>
      <c r="D12" t="s">
        <v>23</v>
      </c>
      <c r="E12" s="5">
        <v>44136</v>
      </c>
    </row>
    <row r="13" spans="1:5">
      <c r="A13" s="6">
        <v>44166</v>
      </c>
      <c r="B13" s="9">
        <v>56795</v>
      </c>
      <c r="C13" t="s">
        <v>25</v>
      </c>
      <c r="D13" t="s">
        <v>23</v>
      </c>
      <c r="E13" s="5">
        <v>44166</v>
      </c>
    </row>
    <row r="14" spans="1:5">
      <c r="A14" s="6">
        <v>44197</v>
      </c>
      <c r="B14" s="9">
        <v>56967</v>
      </c>
      <c r="C14" t="s">
        <v>25</v>
      </c>
      <c r="D14" t="s">
        <v>23</v>
      </c>
      <c r="E14" s="5">
        <v>44197</v>
      </c>
    </row>
    <row r="15" spans="1:5">
      <c r="A15" s="6">
        <v>44228</v>
      </c>
      <c r="B15" s="9">
        <v>57191</v>
      </c>
      <c r="C15" t="s">
        <v>25</v>
      </c>
      <c r="D15" t="s">
        <v>23</v>
      </c>
      <c r="E15" s="5">
        <v>44228</v>
      </c>
    </row>
    <row r="16" spans="1:5">
      <c r="A16" s="6">
        <v>44256</v>
      </c>
      <c r="B16" s="9">
        <v>57293</v>
      </c>
      <c r="C16" t="s">
        <v>25</v>
      </c>
      <c r="D16" t="s">
        <v>23</v>
      </c>
      <c r="E16" s="5">
        <v>44256</v>
      </c>
    </row>
    <row r="17" spans="1:5">
      <c r="A17" s="6">
        <v>44287</v>
      </c>
      <c r="B17" s="9">
        <v>57062</v>
      </c>
      <c r="C17" t="s">
        <v>25</v>
      </c>
      <c r="D17" t="s">
        <v>23</v>
      </c>
      <c r="E17" s="5">
        <v>44287</v>
      </c>
    </row>
    <row r="18" spans="1:5">
      <c r="A18" s="6">
        <v>44317</v>
      </c>
      <c r="B18" s="9">
        <v>56928</v>
      </c>
      <c r="C18" t="s">
        <v>25</v>
      </c>
      <c r="D18" t="s">
        <v>23</v>
      </c>
      <c r="E18" s="5">
        <v>44317</v>
      </c>
    </row>
    <row r="19" spans="1:5">
      <c r="A19" s="6">
        <v>44348</v>
      </c>
      <c r="B19" s="9">
        <v>56919</v>
      </c>
      <c r="C19" t="s">
        <v>25</v>
      </c>
      <c r="D19" t="s">
        <v>23</v>
      </c>
      <c r="E19" s="5">
        <v>44348</v>
      </c>
    </row>
    <row r="20" spans="1:5">
      <c r="A20" s="6">
        <v>44378</v>
      </c>
      <c r="B20" s="9">
        <v>57484</v>
      </c>
      <c r="C20" t="s">
        <v>25</v>
      </c>
      <c r="D20" t="s">
        <v>23</v>
      </c>
      <c r="E20" s="5">
        <v>44378</v>
      </c>
    </row>
    <row r="21" spans="1:5">
      <c r="A21" s="6">
        <v>44409</v>
      </c>
      <c r="B21" s="9">
        <v>57218</v>
      </c>
      <c r="C21" t="s">
        <v>25</v>
      </c>
      <c r="D21" t="s">
        <v>23</v>
      </c>
      <c r="E21" s="5">
        <v>44409</v>
      </c>
    </row>
    <row r="22" spans="1:5">
      <c r="A22" s="6">
        <v>44440</v>
      </c>
      <c r="B22" s="9">
        <v>57086</v>
      </c>
      <c r="C22" t="s">
        <v>25</v>
      </c>
      <c r="D22" t="s">
        <v>23</v>
      </c>
      <c r="E22" s="5">
        <v>44440</v>
      </c>
    </row>
    <row r="23" spans="1:5">
      <c r="A23" s="6">
        <v>44470</v>
      </c>
      <c r="B23" s="9">
        <v>56539</v>
      </c>
      <c r="C23" t="s">
        <v>25</v>
      </c>
      <c r="D23" t="s">
        <v>23</v>
      </c>
      <c r="E23" s="5">
        <v>44470</v>
      </c>
    </row>
    <row r="24" spans="1:5">
      <c r="A24" s="6">
        <v>44501</v>
      </c>
      <c r="B24" s="9">
        <v>56913</v>
      </c>
      <c r="C24" t="s">
        <v>25</v>
      </c>
      <c r="D24" t="s">
        <v>23</v>
      </c>
      <c r="E24" s="5">
        <v>44501</v>
      </c>
    </row>
    <row r="25" spans="1:5">
      <c r="A25" s="6">
        <v>44531</v>
      </c>
      <c r="B25" s="7">
        <v>57083</v>
      </c>
      <c r="C25" t="s">
        <v>25</v>
      </c>
      <c r="D25" t="s">
        <v>23</v>
      </c>
      <c r="E25" s="5">
        <v>44531</v>
      </c>
    </row>
    <row r="26" spans="1:5">
      <c r="A26" s="6">
        <v>44562</v>
      </c>
      <c r="B26" s="7">
        <v>57198</v>
      </c>
      <c r="C26" t="s">
        <v>25</v>
      </c>
      <c r="D26" t="s">
        <v>23</v>
      </c>
      <c r="E26" s="5">
        <v>44562</v>
      </c>
    </row>
    <row r="27" spans="1:5">
      <c r="A27" s="6">
        <v>44593</v>
      </c>
      <c r="B27" s="7">
        <v>57376</v>
      </c>
      <c r="C27" t="s">
        <v>25</v>
      </c>
      <c r="D27" t="s">
        <v>23</v>
      </c>
      <c r="E27" s="5">
        <v>44593</v>
      </c>
    </row>
    <row r="28" spans="1:5">
      <c r="A28" s="6">
        <v>44621</v>
      </c>
      <c r="B28" s="7">
        <v>57510</v>
      </c>
      <c r="C28" t="s">
        <v>25</v>
      </c>
      <c r="D28" t="s">
        <v>23</v>
      </c>
      <c r="E28" s="5">
        <v>44621</v>
      </c>
    </row>
    <row r="29" spans="1:5">
      <c r="A29" s="6">
        <v>44652</v>
      </c>
      <c r="B29" s="7">
        <v>57640</v>
      </c>
      <c r="C29" t="s">
        <v>25</v>
      </c>
      <c r="D29" t="s">
        <v>23</v>
      </c>
      <c r="E29" s="5">
        <v>44652</v>
      </c>
    </row>
    <row r="30" spans="1:5">
      <c r="A30" s="6">
        <v>44682</v>
      </c>
      <c r="B30" s="7">
        <v>57411</v>
      </c>
      <c r="C30" t="s">
        <v>25</v>
      </c>
      <c r="D30" t="s">
        <v>23</v>
      </c>
      <c r="E30" s="5">
        <v>44682</v>
      </c>
    </row>
    <row r="31" spans="1:5">
      <c r="A31" s="6">
        <v>44713</v>
      </c>
      <c r="B31" s="7">
        <v>56843</v>
      </c>
      <c r="C31" t="s">
        <v>25</v>
      </c>
      <c r="D31" t="s">
        <v>23</v>
      </c>
      <c r="E31" s="5">
        <v>44713</v>
      </c>
    </row>
    <row r="32" spans="1:5">
      <c r="A32" s="6">
        <v>44743</v>
      </c>
      <c r="B32" s="7">
        <v>56732</v>
      </c>
      <c r="C32" t="s">
        <v>25</v>
      </c>
      <c r="D32" t="s">
        <v>23</v>
      </c>
      <c r="E32" s="5">
        <v>44743</v>
      </c>
    </row>
    <row r="33" spans="1:5">
      <c r="A33" s="6">
        <v>44774</v>
      </c>
      <c r="B33" s="7">
        <v>56841</v>
      </c>
      <c r="C33" t="s">
        <v>25</v>
      </c>
      <c r="D33" t="s">
        <v>23</v>
      </c>
      <c r="E33" s="5">
        <v>44774</v>
      </c>
    </row>
    <row r="34" spans="1:5">
      <c r="A34" s="6">
        <v>44805</v>
      </c>
      <c r="B34" s="7">
        <v>57203</v>
      </c>
      <c r="C34" t="s">
        <v>25</v>
      </c>
      <c r="D34" t="s">
        <v>23</v>
      </c>
      <c r="E34" s="5">
        <v>44805</v>
      </c>
    </row>
    <row r="35" spans="1:5">
      <c r="A35" s="6">
        <v>44835</v>
      </c>
      <c r="B35" s="7">
        <v>57297</v>
      </c>
      <c r="C35" t="s">
        <v>25</v>
      </c>
      <c r="D35" t="s">
        <v>23</v>
      </c>
      <c r="E35" s="5">
        <v>44835</v>
      </c>
    </row>
    <row r="36" spans="1:5">
      <c r="A36" s="6">
        <v>44866</v>
      </c>
      <c r="B36" s="7">
        <v>57456</v>
      </c>
      <c r="C36" t="s">
        <v>25</v>
      </c>
      <c r="D36" t="s">
        <v>23</v>
      </c>
      <c r="E36" s="5">
        <v>44866</v>
      </c>
    </row>
    <row r="37" spans="1:5">
      <c r="A37" s="6">
        <v>44896</v>
      </c>
      <c r="B37" s="7">
        <v>57751</v>
      </c>
      <c r="C37" t="s">
        <v>25</v>
      </c>
      <c r="D37" t="s">
        <v>23</v>
      </c>
      <c r="E37" s="5">
        <v>44896</v>
      </c>
    </row>
    <row r="38" spans="1:5">
      <c r="A38" s="6">
        <v>44927</v>
      </c>
      <c r="B38" s="7">
        <v>58303</v>
      </c>
      <c r="C38" t="s">
        <v>25</v>
      </c>
      <c r="D38" t="s">
        <v>23</v>
      </c>
      <c r="E38" s="5">
        <v>44927</v>
      </c>
    </row>
    <row r="39" spans="1:5">
      <c r="A39" s="6">
        <v>44958</v>
      </c>
      <c r="B39" s="7">
        <v>58337</v>
      </c>
      <c r="C39" t="s">
        <v>25</v>
      </c>
      <c r="D39" t="s">
        <v>23</v>
      </c>
      <c r="E39" s="5">
        <v>44958</v>
      </c>
    </row>
    <row r="40" spans="1:5">
      <c r="A40" s="6">
        <v>44986</v>
      </c>
      <c r="B40" s="7">
        <v>58448</v>
      </c>
      <c r="C40" t="s">
        <v>25</v>
      </c>
      <c r="D40" t="s">
        <v>23</v>
      </c>
      <c r="E40" s="5">
        <v>44986</v>
      </c>
    </row>
    <row r="41" spans="1:5">
      <c r="A41" s="6">
        <v>45017</v>
      </c>
      <c r="B41" s="7">
        <v>58184</v>
      </c>
      <c r="C41" t="s">
        <v>25</v>
      </c>
      <c r="D41" t="s">
        <v>23</v>
      </c>
      <c r="E41" s="5">
        <v>45017</v>
      </c>
    </row>
    <row r="42" spans="1:5">
      <c r="A42" s="6">
        <v>45047</v>
      </c>
      <c r="B42" s="7">
        <v>58540</v>
      </c>
      <c r="C42" t="s">
        <v>25</v>
      </c>
      <c r="D42" t="s">
        <v>23</v>
      </c>
      <c r="E42" s="5">
        <v>45047</v>
      </c>
    </row>
    <row r="43" spans="1:5">
      <c r="A43" s="6">
        <v>45078</v>
      </c>
      <c r="B43" s="7">
        <v>58687</v>
      </c>
      <c r="C43" t="s">
        <v>25</v>
      </c>
      <c r="D43" t="s">
        <v>23</v>
      </c>
      <c r="E43" s="5">
        <v>45078</v>
      </c>
    </row>
    <row r="44" spans="1:5">
      <c r="A44" s="6">
        <v>45108</v>
      </c>
      <c r="B44" s="7">
        <v>58718</v>
      </c>
      <c r="C44" t="s">
        <v>25</v>
      </c>
      <c r="D44" t="s">
        <v>23</v>
      </c>
      <c r="E44" s="5">
        <v>45108</v>
      </c>
    </row>
    <row r="45" spans="1:5">
      <c r="A45" s="6">
        <v>45139</v>
      </c>
      <c r="B45" s="7">
        <v>59143</v>
      </c>
      <c r="C45" t="s">
        <v>25</v>
      </c>
      <c r="D45" t="s">
        <v>23</v>
      </c>
      <c r="E45" s="5">
        <v>45139</v>
      </c>
    </row>
    <row r="46" spans="1:5">
      <c r="A46" s="6">
        <v>45170</v>
      </c>
      <c r="B46" s="7">
        <v>59609</v>
      </c>
      <c r="C46" t="s">
        <v>25</v>
      </c>
      <c r="D46" t="s">
        <v>23</v>
      </c>
      <c r="E46" s="5">
        <v>45170</v>
      </c>
    </row>
    <row r="47" spans="1:5">
      <c r="A47" s="6">
        <v>45200</v>
      </c>
      <c r="B47" s="7">
        <v>60408</v>
      </c>
      <c r="C47" t="s">
        <v>25</v>
      </c>
      <c r="D47" t="s">
        <v>23</v>
      </c>
      <c r="E47" s="5">
        <v>45200</v>
      </c>
    </row>
    <row r="48" spans="1:5">
      <c r="A48" s="6">
        <v>45231</v>
      </c>
      <c r="B48" s="7">
        <v>62237</v>
      </c>
      <c r="C48" t="s">
        <v>25</v>
      </c>
      <c r="D48" t="s">
        <v>23</v>
      </c>
      <c r="E48" s="5">
        <v>45231</v>
      </c>
    </row>
    <row r="49" spans="1:5">
      <c r="A49" s="6">
        <v>45261</v>
      </c>
      <c r="B49" s="7">
        <v>63787</v>
      </c>
      <c r="C49" t="s">
        <v>25</v>
      </c>
      <c r="D49" t="s">
        <v>23</v>
      </c>
      <c r="E49" s="5">
        <v>45261</v>
      </c>
    </row>
    <row r="50" spans="1:5">
      <c r="A50" s="6">
        <v>45292</v>
      </c>
      <c r="B50" s="7">
        <v>64939</v>
      </c>
      <c r="C50" t="s">
        <v>25</v>
      </c>
      <c r="D50" t="s">
        <v>23</v>
      </c>
      <c r="E50" s="5">
        <v>45292</v>
      </c>
    </row>
    <row r="51" spans="1:5">
      <c r="A51" s="6">
        <v>45323</v>
      </c>
      <c r="B51" s="7">
        <v>65903</v>
      </c>
      <c r="C51" t="s">
        <v>25</v>
      </c>
      <c r="D51" t="s">
        <v>23</v>
      </c>
      <c r="E51" s="5">
        <v>45323</v>
      </c>
    </row>
    <row r="52" spans="1:5">
      <c r="A52" s="6">
        <v>45352</v>
      </c>
      <c r="B52" s="7">
        <v>63948</v>
      </c>
      <c r="C52" t="s">
        <v>25</v>
      </c>
      <c r="D52" t="s">
        <v>23</v>
      </c>
      <c r="E52" s="5">
        <v>45352</v>
      </c>
    </row>
    <row r="53" spans="1:5">
      <c r="A53" s="6">
        <v>45383</v>
      </c>
      <c r="B53" s="7">
        <v>63001</v>
      </c>
      <c r="C53" t="s">
        <v>25</v>
      </c>
      <c r="D53" t="s">
        <v>23</v>
      </c>
      <c r="E53" s="5">
        <v>45383</v>
      </c>
    </row>
    <row r="54" spans="1:5">
      <c r="A54" s="6">
        <v>45413</v>
      </c>
      <c r="B54" s="7">
        <v>62221</v>
      </c>
      <c r="C54" t="s">
        <v>25</v>
      </c>
      <c r="D54" t="s">
        <v>23</v>
      </c>
      <c r="E54" s="5">
        <v>45413</v>
      </c>
    </row>
    <row r="55" spans="1:5">
      <c r="A55" s="6">
        <v>45444</v>
      </c>
      <c r="B55" s="7">
        <v>62093</v>
      </c>
      <c r="C55" t="s">
        <v>25</v>
      </c>
      <c r="D55" t="s">
        <v>23</v>
      </c>
      <c r="E55" s="5">
        <v>45444</v>
      </c>
    </row>
    <row r="56" spans="1:5">
      <c r="A56" s="6">
        <v>45474</v>
      </c>
      <c r="B56" s="7">
        <v>61715</v>
      </c>
      <c r="C56" t="s">
        <v>25</v>
      </c>
      <c r="D56" t="s">
        <v>23</v>
      </c>
      <c r="E56" s="5">
        <v>45474</v>
      </c>
    </row>
    <row r="57" spans="1:5">
      <c r="A57" s="6">
        <v>45505</v>
      </c>
      <c r="B57" s="7">
        <v>61323</v>
      </c>
      <c r="C57" t="s">
        <v>25</v>
      </c>
      <c r="D57" t="s">
        <v>23</v>
      </c>
      <c r="E57" s="5">
        <v>45505</v>
      </c>
    </row>
    <row r="58" spans="1:5">
      <c r="A58" s="6">
        <v>45536</v>
      </c>
      <c r="B58" s="7">
        <v>59852</v>
      </c>
      <c r="C58" t="s">
        <v>25</v>
      </c>
      <c r="D58" t="s">
        <v>23</v>
      </c>
      <c r="E58" s="5">
        <v>45536</v>
      </c>
    </row>
    <row r="59" spans="1:5">
      <c r="A59" s="6">
        <v>45566</v>
      </c>
      <c r="B59" s="7">
        <v>59148</v>
      </c>
      <c r="C59" t="s">
        <v>25</v>
      </c>
      <c r="D59" t="s">
        <v>23</v>
      </c>
      <c r="E59" s="5">
        <v>45566</v>
      </c>
    </row>
    <row r="60" spans="1:5">
      <c r="A60" s="6">
        <v>45597</v>
      </c>
      <c r="B60" s="7">
        <v>58256</v>
      </c>
      <c r="C60" t="s">
        <v>25</v>
      </c>
      <c r="D60" t="s">
        <v>23</v>
      </c>
      <c r="E60" s="5">
        <v>45597</v>
      </c>
    </row>
    <row r="61" spans="1:5">
      <c r="A61" s="6">
        <v>45627</v>
      </c>
      <c r="B61" s="7">
        <v>58499</v>
      </c>
      <c r="C61" t="s">
        <v>25</v>
      </c>
      <c r="D61" t="s">
        <v>23</v>
      </c>
      <c r="E61" s="5">
        <v>45627</v>
      </c>
    </row>
    <row r="62" spans="1:5">
      <c r="A62" s="6">
        <v>45658</v>
      </c>
      <c r="B62" s="7">
        <v>58518</v>
      </c>
      <c r="C62" t="s">
        <v>25</v>
      </c>
      <c r="D62" t="s">
        <v>23</v>
      </c>
      <c r="E62" s="5">
        <v>45658</v>
      </c>
    </row>
    <row r="63" spans="1:5">
      <c r="A63" s="6">
        <v>45689</v>
      </c>
      <c r="B63" s="7">
        <v>59245</v>
      </c>
      <c r="C63" t="s">
        <v>25</v>
      </c>
      <c r="D63" t="s">
        <v>23</v>
      </c>
      <c r="E63" s="5">
        <v>45689</v>
      </c>
    </row>
    <row r="64" spans="1:5">
      <c r="A64" s="6">
        <v>45717</v>
      </c>
      <c r="B64" s="7">
        <v>58586</v>
      </c>
      <c r="C64" t="s">
        <v>25</v>
      </c>
      <c r="D64" t="s">
        <v>23</v>
      </c>
      <c r="E64" s="5">
        <v>45717</v>
      </c>
    </row>
    <row r="65" spans="1:5">
      <c r="A65" s="6">
        <v>45748</v>
      </c>
      <c r="B65" s="7">
        <v>57856</v>
      </c>
      <c r="C65" t="s">
        <v>25</v>
      </c>
      <c r="D65" t="s">
        <v>23</v>
      </c>
      <c r="E65" s="5">
        <v>45748</v>
      </c>
    </row>
    <row r="66" spans="1:5">
      <c r="A66" s="6">
        <v>45778</v>
      </c>
      <c r="B66" s="7">
        <v>57823</v>
      </c>
      <c r="C66" t="s">
        <v>25</v>
      </c>
      <c r="D66" t="s">
        <v>23</v>
      </c>
      <c r="E66" s="5">
        <v>45778</v>
      </c>
    </row>
    <row r="67" spans="1:5">
      <c r="A67" s="6">
        <v>45809</v>
      </c>
      <c r="B67" s="7">
        <v>56960</v>
      </c>
      <c r="C67" t="s">
        <v>25</v>
      </c>
      <c r="D67" t="s">
        <v>23</v>
      </c>
      <c r="E67" s="5">
        <v>45809</v>
      </c>
    </row>
    <row r="68" spans="1:5">
      <c r="A68" s="6">
        <v>45839</v>
      </c>
      <c r="B68" s="7">
        <v>55836</v>
      </c>
      <c r="C68" t="s">
        <v>25</v>
      </c>
      <c r="D68" t="s">
        <v>23</v>
      </c>
      <c r="E68" s="5">
        <v>45839</v>
      </c>
    </row>
    <row r="69" spans="1:5">
      <c r="A69" s="6">
        <v>45870</v>
      </c>
      <c r="B69" s="7">
        <v>55407</v>
      </c>
      <c r="C69" t="s">
        <v>25</v>
      </c>
      <c r="D69" t="s">
        <v>23</v>
      </c>
      <c r="E69" s="5">
        <v>45870</v>
      </c>
    </row>
    <row r="70" spans="1:5">
      <c r="A70" s="6">
        <v>45901</v>
      </c>
      <c r="B70" s="7">
        <v>54812</v>
      </c>
      <c r="C70" t="s">
        <v>25</v>
      </c>
      <c r="D70" t="s">
        <v>23</v>
      </c>
      <c r="E70" s="5">
        <v>45901</v>
      </c>
    </row>
    <row r="71" spans="1:5">
      <c r="A71" s="6">
        <v>45931</v>
      </c>
      <c r="B71" s="7">
        <v>54326</v>
      </c>
      <c r="C71" t="s">
        <v>25</v>
      </c>
      <c r="D71" t="s">
        <v>23</v>
      </c>
      <c r="E71" s="5">
        <v>45931</v>
      </c>
    </row>
    <row r="72" spans="1:5">
      <c r="A72" s="6">
        <v>45962</v>
      </c>
      <c r="B72" s="7">
        <v>53741</v>
      </c>
      <c r="C72" t="s">
        <v>25</v>
      </c>
      <c r="D72" t="s">
        <v>23</v>
      </c>
      <c r="E72" s="5">
        <v>45962</v>
      </c>
    </row>
    <row r="73" spans="1:5">
      <c r="A73" s="6">
        <v>45992</v>
      </c>
      <c r="B73" s="7">
        <v>53357</v>
      </c>
      <c r="C73" t="s">
        <v>25</v>
      </c>
      <c r="D73" t="s">
        <v>23</v>
      </c>
      <c r="E73" s="5">
        <v>45992</v>
      </c>
    </row>
    <row r="74" spans="1:5">
      <c r="A74" s="6">
        <v>46023</v>
      </c>
      <c r="B74" s="7">
        <v>53390</v>
      </c>
      <c r="C74" t="s">
        <v>25</v>
      </c>
      <c r="D74" t="s">
        <v>23</v>
      </c>
      <c r="E74" s="5">
        <v>46023</v>
      </c>
    </row>
    <row r="75" spans="1:5">
      <c r="A75" s="6">
        <v>46054</v>
      </c>
      <c r="B75" s="7">
        <v>53781</v>
      </c>
      <c r="C75" t="s">
        <v>25</v>
      </c>
      <c r="D75" t="s">
        <v>23</v>
      </c>
      <c r="E75" s="5">
        <v>46054</v>
      </c>
    </row>
    <row r="76" spans="1:5">
      <c r="A76" s="6">
        <v>46082</v>
      </c>
      <c r="B76" s="7">
        <v>53598</v>
      </c>
      <c r="C76" t="s">
        <v>25</v>
      </c>
      <c r="D76" t="s">
        <v>23</v>
      </c>
      <c r="E76" s="5">
        <v>46082</v>
      </c>
    </row>
    <row r="77" spans="1:5">
      <c r="A77" s="6">
        <v>46113</v>
      </c>
      <c r="B77" s="7">
        <v>53066</v>
      </c>
      <c r="C77" t="s">
        <v>25</v>
      </c>
      <c r="D77" t="s">
        <v>23</v>
      </c>
      <c r="E77" s="5">
        <v>46113</v>
      </c>
    </row>
    <row r="78" spans="1:5">
      <c r="A78" s="6">
        <v>46143</v>
      </c>
      <c r="B78" s="7">
        <v>52386</v>
      </c>
      <c r="C78" t="s">
        <v>25</v>
      </c>
      <c r="D78" t="s">
        <v>23</v>
      </c>
      <c r="E78" s="5">
        <v>46143</v>
      </c>
    </row>
    <row r="79" spans="1:5">
      <c r="A79" s="6">
        <v>46174</v>
      </c>
      <c r="B79" s="7">
        <v>52253</v>
      </c>
      <c r="C79" t="s">
        <v>25</v>
      </c>
      <c r="D79" t="s">
        <v>23</v>
      </c>
      <c r="E79" s="5">
        <v>46174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C2C8-E9AB-B94B-942F-9219AC52EAE5}">
  <dimension ref="A1:E77"/>
  <sheetViews>
    <sheetView topLeftCell="A67" zoomScale="85" workbookViewId="0">
      <selection activeCell="D77" sqref="D77"/>
    </sheetView>
  </sheetViews>
  <sheetFormatPr defaultColWidth="10.78125" defaultRowHeight="27.5"/>
  <cols>
    <col min="1" max="1" width="10.5625" style="6"/>
    <col min="2" max="2" width="10.5625" style="9"/>
    <col min="4" max="5" width="15.5625" customWidth="1"/>
  </cols>
  <sheetData>
    <row r="1" spans="1:5">
      <c r="A1" s="6" t="s">
        <v>15</v>
      </c>
      <c r="B1" s="9" t="s">
        <v>17</v>
      </c>
      <c r="C1" t="s">
        <v>21</v>
      </c>
      <c r="D1" t="s">
        <v>19</v>
      </c>
      <c r="E1" s="5" t="s">
        <v>27</v>
      </c>
    </row>
    <row r="2" spans="1:5">
      <c r="A2" s="6">
        <v>43831</v>
      </c>
      <c r="B2" s="10">
        <v>379.7</v>
      </c>
      <c r="C2" t="s">
        <v>28</v>
      </c>
      <c r="D2" t="s">
        <v>23</v>
      </c>
      <c r="E2" s="6">
        <v>43831</v>
      </c>
    </row>
    <row r="3" spans="1:5">
      <c r="A3" s="6">
        <v>43862</v>
      </c>
      <c r="B3" s="10">
        <v>373.4</v>
      </c>
      <c r="C3" t="s">
        <v>28</v>
      </c>
      <c r="D3" t="s">
        <v>23</v>
      </c>
      <c r="E3" s="6">
        <v>43862</v>
      </c>
    </row>
    <row r="4" spans="1:5">
      <c r="A4" s="6">
        <v>43891</v>
      </c>
      <c r="B4" s="10">
        <v>378.4</v>
      </c>
      <c r="C4" t="s">
        <v>28</v>
      </c>
      <c r="D4" t="s">
        <v>23</v>
      </c>
      <c r="E4" s="6">
        <v>43891</v>
      </c>
    </row>
    <row r="5" spans="1:5">
      <c r="A5" s="6">
        <v>43922</v>
      </c>
      <c r="B5" s="10">
        <v>377.5</v>
      </c>
      <c r="C5" t="s">
        <v>28</v>
      </c>
      <c r="D5" t="s">
        <v>23</v>
      </c>
      <c r="E5" s="6">
        <v>43922</v>
      </c>
    </row>
    <row r="6" spans="1:5">
      <c r="A6" s="6">
        <v>43952</v>
      </c>
      <c r="B6" s="10">
        <v>386.1</v>
      </c>
      <c r="C6" t="s">
        <v>28</v>
      </c>
      <c r="D6" t="s">
        <v>23</v>
      </c>
      <c r="E6" s="6">
        <v>43952</v>
      </c>
    </row>
    <row r="7" spans="1:5">
      <c r="A7" s="6">
        <v>43983</v>
      </c>
      <c r="B7" s="10">
        <v>386.7</v>
      </c>
      <c r="C7" t="s">
        <v>28</v>
      </c>
      <c r="D7" t="s">
        <v>23</v>
      </c>
      <c r="E7" s="6">
        <v>43983</v>
      </c>
    </row>
    <row r="8" spans="1:5">
      <c r="A8" s="6">
        <v>44013</v>
      </c>
      <c r="B8" s="10">
        <v>385.4</v>
      </c>
      <c r="C8" t="s">
        <v>28</v>
      </c>
      <c r="D8" t="s">
        <v>23</v>
      </c>
      <c r="E8" s="6">
        <v>44013</v>
      </c>
    </row>
    <row r="9" spans="1:5">
      <c r="A9" s="6">
        <v>44044</v>
      </c>
      <c r="B9" s="10">
        <v>382</v>
      </c>
      <c r="C9" t="s">
        <v>28</v>
      </c>
      <c r="D9" t="s">
        <v>23</v>
      </c>
      <c r="E9" s="6">
        <v>44044</v>
      </c>
    </row>
    <row r="10" spans="1:5">
      <c r="A10" s="6">
        <v>44075</v>
      </c>
      <c r="B10" s="10">
        <v>383.1</v>
      </c>
      <c r="C10" t="s">
        <v>28</v>
      </c>
      <c r="D10" t="s">
        <v>23</v>
      </c>
      <c r="E10" s="6">
        <v>44075</v>
      </c>
    </row>
    <row r="11" spans="1:5">
      <c r="A11" s="6">
        <v>44105</v>
      </c>
      <c r="B11" s="10">
        <v>381.3</v>
      </c>
      <c r="C11" t="s">
        <v>28</v>
      </c>
      <c r="D11" t="s">
        <v>23</v>
      </c>
      <c r="E11" s="6">
        <v>44105</v>
      </c>
    </row>
    <row r="12" spans="1:5">
      <c r="A12" s="6">
        <v>44136</v>
      </c>
      <c r="B12" s="10">
        <v>380.6</v>
      </c>
      <c r="C12" t="s">
        <v>28</v>
      </c>
      <c r="D12" t="s">
        <v>23</v>
      </c>
      <c r="E12" s="6">
        <v>44136</v>
      </c>
    </row>
    <row r="13" spans="1:5">
      <c r="A13" s="6">
        <v>44166</v>
      </c>
      <c r="B13" s="10">
        <v>379.9</v>
      </c>
      <c r="C13" t="s">
        <v>28</v>
      </c>
      <c r="D13" t="s">
        <v>23</v>
      </c>
      <c r="E13" s="6">
        <v>44166</v>
      </c>
    </row>
    <row r="14" spans="1:5">
      <c r="A14" s="6">
        <v>44197</v>
      </c>
      <c r="B14" s="10">
        <v>381.9</v>
      </c>
      <c r="C14" t="s">
        <v>28</v>
      </c>
      <c r="D14" t="s">
        <v>23</v>
      </c>
      <c r="E14" s="6">
        <v>44197</v>
      </c>
    </row>
    <row r="15" spans="1:5">
      <c r="A15" s="6">
        <v>44228</v>
      </c>
      <c r="B15" s="10">
        <v>384.9</v>
      </c>
      <c r="C15" t="s">
        <v>28</v>
      </c>
      <c r="D15" t="s">
        <v>23</v>
      </c>
      <c r="E15" s="6">
        <v>44228</v>
      </c>
    </row>
    <row r="16" spans="1:5">
      <c r="A16" s="6">
        <v>44256</v>
      </c>
      <c r="B16" s="10">
        <v>389.6</v>
      </c>
      <c r="C16" t="s">
        <v>28</v>
      </c>
      <c r="D16" t="s">
        <v>23</v>
      </c>
      <c r="E16" s="6">
        <v>44256</v>
      </c>
    </row>
    <row r="17" spans="1:5">
      <c r="A17" s="6">
        <v>44287</v>
      </c>
      <c r="B17" s="10">
        <v>391</v>
      </c>
      <c r="C17" t="s">
        <v>28</v>
      </c>
      <c r="D17" t="s">
        <v>23</v>
      </c>
      <c r="E17" s="6">
        <v>44287</v>
      </c>
    </row>
    <row r="18" spans="1:5">
      <c r="A18" s="6">
        <v>44317</v>
      </c>
      <c r="B18" s="10">
        <v>393.9</v>
      </c>
      <c r="C18" t="s">
        <v>28</v>
      </c>
      <c r="D18" t="s">
        <v>23</v>
      </c>
      <c r="E18" s="6">
        <v>44317</v>
      </c>
    </row>
    <row r="19" spans="1:5">
      <c r="A19" s="6">
        <v>44348</v>
      </c>
      <c r="B19" s="10">
        <v>394</v>
      </c>
      <c r="C19" t="s">
        <v>28</v>
      </c>
      <c r="D19" t="s">
        <v>23</v>
      </c>
      <c r="E19" s="6">
        <v>44348</v>
      </c>
    </row>
    <row r="20" spans="1:5">
      <c r="A20" s="6">
        <v>44378</v>
      </c>
      <c r="B20" s="10">
        <v>398</v>
      </c>
      <c r="C20" t="s">
        <v>28</v>
      </c>
      <c r="D20" t="s">
        <v>23</v>
      </c>
      <c r="E20" s="6">
        <v>44378</v>
      </c>
    </row>
    <row r="21" spans="1:5">
      <c r="A21" s="6">
        <v>44409</v>
      </c>
      <c r="B21" s="10">
        <v>397.5</v>
      </c>
      <c r="C21" t="s">
        <v>28</v>
      </c>
      <c r="D21" t="s">
        <v>23</v>
      </c>
      <c r="E21" s="6">
        <v>44409</v>
      </c>
    </row>
    <row r="22" spans="1:5">
      <c r="A22" s="6">
        <v>44440</v>
      </c>
      <c r="B22" s="10">
        <v>398.1</v>
      </c>
      <c r="C22" t="s">
        <v>28</v>
      </c>
      <c r="D22" t="s">
        <v>23</v>
      </c>
      <c r="E22" s="6">
        <v>44440</v>
      </c>
    </row>
    <row r="23" spans="1:5">
      <c r="A23" s="6">
        <v>44470</v>
      </c>
      <c r="B23" s="10">
        <v>396</v>
      </c>
      <c r="C23" t="s">
        <v>28</v>
      </c>
      <c r="D23" t="s">
        <v>23</v>
      </c>
      <c r="E23" s="6">
        <v>44470</v>
      </c>
    </row>
    <row r="24" spans="1:5">
      <c r="A24" s="6">
        <v>44501</v>
      </c>
      <c r="B24" s="10">
        <v>393.6</v>
      </c>
      <c r="C24" t="s">
        <v>28</v>
      </c>
      <c r="D24" t="s">
        <v>23</v>
      </c>
      <c r="E24" s="6">
        <v>44501</v>
      </c>
    </row>
    <row r="25" spans="1:5">
      <c r="A25" s="6">
        <v>44531</v>
      </c>
      <c r="B25" s="10">
        <v>393.9</v>
      </c>
      <c r="C25" t="s">
        <v>28</v>
      </c>
      <c r="D25" t="s">
        <v>23</v>
      </c>
      <c r="E25" s="6">
        <v>44531</v>
      </c>
    </row>
    <row r="26" spans="1:5">
      <c r="A26" s="6">
        <v>44562</v>
      </c>
      <c r="B26" s="10">
        <v>390.8</v>
      </c>
      <c r="C26" t="s">
        <v>28</v>
      </c>
      <c r="D26" t="s">
        <v>23</v>
      </c>
      <c r="E26" s="6">
        <v>44562</v>
      </c>
    </row>
    <row r="27" spans="1:5">
      <c r="A27" s="6">
        <v>44593</v>
      </c>
      <c r="B27" s="10">
        <v>383.6</v>
      </c>
      <c r="C27" t="s">
        <v>28</v>
      </c>
      <c r="D27" t="s">
        <v>23</v>
      </c>
      <c r="E27" s="6">
        <v>44593</v>
      </c>
    </row>
    <row r="28" spans="1:5">
      <c r="A28" s="6">
        <v>44621</v>
      </c>
      <c r="B28" s="10">
        <v>381.4</v>
      </c>
      <c r="C28" t="s">
        <v>28</v>
      </c>
      <c r="D28" t="s">
        <v>23</v>
      </c>
      <c r="E28" s="6">
        <v>44621</v>
      </c>
    </row>
    <row r="29" spans="1:5">
      <c r="A29" s="6">
        <v>44652</v>
      </c>
      <c r="B29" s="10">
        <v>385</v>
      </c>
      <c r="C29" t="s">
        <v>28</v>
      </c>
      <c r="D29" t="s">
        <v>23</v>
      </c>
      <c r="E29" s="6">
        <v>44652</v>
      </c>
    </row>
    <row r="30" spans="1:5">
      <c r="A30" s="6">
        <v>44682</v>
      </c>
      <c r="B30" s="10">
        <v>385.5</v>
      </c>
      <c r="C30" t="s">
        <v>28</v>
      </c>
      <c r="D30" t="s">
        <v>23</v>
      </c>
      <c r="E30" s="6">
        <v>44682</v>
      </c>
    </row>
    <row r="31" spans="1:5">
      <c r="A31" s="6">
        <v>44713</v>
      </c>
      <c r="B31" s="10">
        <v>381.8</v>
      </c>
      <c r="C31" t="s">
        <v>28</v>
      </c>
      <c r="D31" t="s">
        <v>23</v>
      </c>
      <c r="E31" s="6">
        <v>44713</v>
      </c>
    </row>
    <row r="32" spans="1:5">
      <c r="A32" s="6">
        <v>44743</v>
      </c>
      <c r="B32" s="10">
        <v>376.5</v>
      </c>
      <c r="C32" t="s">
        <v>28</v>
      </c>
      <c r="D32" t="s">
        <v>23</v>
      </c>
      <c r="E32" s="6">
        <v>44743</v>
      </c>
    </row>
    <row r="33" spans="1:5">
      <c r="A33" s="6">
        <v>44774</v>
      </c>
      <c r="B33" s="10">
        <v>368.2</v>
      </c>
      <c r="C33" t="s">
        <v>28</v>
      </c>
      <c r="D33" t="s">
        <v>23</v>
      </c>
      <c r="E33" s="6">
        <v>44774</v>
      </c>
    </row>
    <row r="34" spans="1:5">
      <c r="A34" s="6">
        <v>44805</v>
      </c>
      <c r="B34" s="10">
        <v>360.3</v>
      </c>
      <c r="C34" t="s">
        <v>28</v>
      </c>
      <c r="D34" t="s">
        <v>23</v>
      </c>
      <c r="E34" s="6">
        <v>44805</v>
      </c>
    </row>
    <row r="35" spans="1:5">
      <c r="A35" s="6">
        <v>44835</v>
      </c>
      <c r="B35" s="10">
        <v>350.2</v>
      </c>
      <c r="C35" t="s">
        <v>28</v>
      </c>
      <c r="D35" t="s">
        <v>23</v>
      </c>
      <c r="E35" s="6">
        <v>44835</v>
      </c>
    </row>
    <row r="36" spans="1:5">
      <c r="A36" s="6">
        <v>44866</v>
      </c>
      <c r="B36" s="10">
        <v>338.2</v>
      </c>
      <c r="C36" t="s">
        <v>28</v>
      </c>
      <c r="D36" t="s">
        <v>23</v>
      </c>
      <c r="E36" s="6">
        <v>44866</v>
      </c>
    </row>
    <row r="37" spans="1:5">
      <c r="A37" s="6">
        <v>44896</v>
      </c>
      <c r="B37" s="10">
        <v>334.7</v>
      </c>
      <c r="C37" t="s">
        <v>28</v>
      </c>
      <c r="D37" t="s">
        <v>23</v>
      </c>
      <c r="E37" s="6">
        <v>44896</v>
      </c>
    </row>
    <row r="38" spans="1:5">
      <c r="A38" s="6">
        <v>44927</v>
      </c>
      <c r="B38" s="10">
        <v>338.3</v>
      </c>
      <c r="C38" t="s">
        <v>28</v>
      </c>
      <c r="D38" t="s">
        <v>23</v>
      </c>
      <c r="E38" s="6">
        <v>44927</v>
      </c>
    </row>
    <row r="39" spans="1:5">
      <c r="A39" s="6">
        <v>44958</v>
      </c>
      <c r="B39" s="10">
        <v>346.8</v>
      </c>
      <c r="C39" t="s">
        <v>28</v>
      </c>
      <c r="D39" t="s">
        <v>23</v>
      </c>
      <c r="E39" s="6">
        <v>44958</v>
      </c>
    </row>
    <row r="40" spans="1:5">
      <c r="A40" s="6">
        <v>44986</v>
      </c>
      <c r="B40" s="10">
        <v>352.3</v>
      </c>
      <c r="C40" t="s">
        <v>28</v>
      </c>
      <c r="D40" t="s">
        <v>23</v>
      </c>
      <c r="E40" s="6">
        <v>44986</v>
      </c>
    </row>
    <row r="41" spans="1:5">
      <c r="A41" s="6">
        <v>45017</v>
      </c>
      <c r="B41" s="10">
        <v>354.2</v>
      </c>
      <c r="C41" t="s">
        <v>28</v>
      </c>
      <c r="D41" t="s">
        <v>23</v>
      </c>
      <c r="E41" s="6">
        <v>45017</v>
      </c>
    </row>
    <row r="42" spans="1:5">
      <c r="A42" s="6">
        <v>45047</v>
      </c>
      <c r="B42" s="10">
        <v>350.4</v>
      </c>
      <c r="C42" t="s">
        <v>28</v>
      </c>
      <c r="D42" t="s">
        <v>23</v>
      </c>
      <c r="E42" s="6">
        <v>45047</v>
      </c>
    </row>
    <row r="43" spans="1:5">
      <c r="A43" s="6">
        <v>45078</v>
      </c>
      <c r="B43" s="10">
        <v>347.3</v>
      </c>
      <c r="C43" t="s">
        <v>28</v>
      </c>
      <c r="D43" t="s">
        <v>23</v>
      </c>
      <c r="E43" s="6">
        <v>45078</v>
      </c>
    </row>
    <row r="44" spans="1:5">
      <c r="A44" s="6">
        <v>45108</v>
      </c>
      <c r="B44" s="10">
        <v>344</v>
      </c>
      <c r="C44" t="s">
        <v>28</v>
      </c>
      <c r="D44" t="s">
        <v>23</v>
      </c>
      <c r="E44" s="6">
        <v>45108</v>
      </c>
    </row>
    <row r="45" spans="1:5">
      <c r="A45" s="6">
        <v>45139</v>
      </c>
      <c r="B45" s="10">
        <v>337</v>
      </c>
      <c r="C45" t="s">
        <v>28</v>
      </c>
      <c r="D45" t="s">
        <v>23</v>
      </c>
      <c r="E45" s="6">
        <v>45139</v>
      </c>
    </row>
    <row r="46" spans="1:5">
      <c r="A46" s="6">
        <v>45170</v>
      </c>
      <c r="B46" s="10">
        <v>329.1</v>
      </c>
      <c r="C46" t="s">
        <v>28</v>
      </c>
      <c r="D46" t="s">
        <v>23</v>
      </c>
      <c r="E46" s="6">
        <v>45170</v>
      </c>
    </row>
    <row r="47" spans="1:5">
      <c r="A47" s="6">
        <v>45200</v>
      </c>
      <c r="B47" s="10">
        <v>322</v>
      </c>
      <c r="C47" t="s">
        <v>28</v>
      </c>
      <c r="D47" t="s">
        <v>23</v>
      </c>
      <c r="E47" s="6">
        <v>45200</v>
      </c>
    </row>
    <row r="48" spans="1:5">
      <c r="A48" s="6">
        <v>45231</v>
      </c>
      <c r="B48" s="10">
        <v>315.60000000000002</v>
      </c>
      <c r="C48" t="s">
        <v>28</v>
      </c>
      <c r="D48" t="s">
        <v>23</v>
      </c>
      <c r="E48" s="6">
        <v>45231</v>
      </c>
    </row>
    <row r="49" spans="1:5">
      <c r="A49" s="6">
        <v>45261</v>
      </c>
      <c r="B49" s="10">
        <v>311.3</v>
      </c>
      <c r="C49" t="s">
        <v>28</v>
      </c>
      <c r="D49" t="s">
        <v>23</v>
      </c>
      <c r="E49" s="6">
        <v>45261</v>
      </c>
    </row>
    <row r="50" spans="1:5">
      <c r="A50" s="6">
        <v>45292</v>
      </c>
      <c r="B50" s="10">
        <v>307.3</v>
      </c>
      <c r="C50" t="s">
        <v>28</v>
      </c>
      <c r="D50" t="s">
        <v>23</v>
      </c>
      <c r="E50" s="6">
        <v>45292</v>
      </c>
    </row>
    <row r="51" spans="1:5">
      <c r="A51" s="6">
        <v>45323</v>
      </c>
      <c r="B51" s="10">
        <v>302.39999999999998</v>
      </c>
      <c r="C51" t="s">
        <v>28</v>
      </c>
      <c r="D51" t="s">
        <v>23</v>
      </c>
      <c r="E51" s="6">
        <v>45323</v>
      </c>
    </row>
    <row r="52" spans="1:5">
      <c r="A52" s="6">
        <v>45352</v>
      </c>
      <c r="B52" s="10">
        <v>308.10000000000002</v>
      </c>
      <c r="C52" t="s">
        <v>28</v>
      </c>
      <c r="D52" t="s">
        <v>23</v>
      </c>
      <c r="E52" s="6">
        <v>45352</v>
      </c>
    </row>
    <row r="53" spans="1:5">
      <c r="A53" s="6">
        <v>45383</v>
      </c>
      <c r="B53" s="10">
        <v>309.60000000000002</v>
      </c>
      <c r="C53" t="s">
        <v>28</v>
      </c>
      <c r="D53" t="s">
        <v>23</v>
      </c>
      <c r="E53" s="6">
        <v>45383</v>
      </c>
    </row>
    <row r="54" spans="1:5">
      <c r="A54" s="6">
        <v>45413</v>
      </c>
      <c r="B54" s="10">
        <v>305.5</v>
      </c>
      <c r="C54" t="s">
        <v>28</v>
      </c>
      <c r="D54" t="s">
        <v>23</v>
      </c>
      <c r="E54" s="6">
        <v>45413</v>
      </c>
    </row>
    <row r="55" spans="1:5">
      <c r="A55" s="6">
        <v>45444</v>
      </c>
      <c r="B55" s="10">
        <v>302.5</v>
      </c>
      <c r="C55" t="s">
        <v>28</v>
      </c>
      <c r="D55" t="s">
        <v>23</v>
      </c>
      <c r="E55" s="6">
        <v>45444</v>
      </c>
    </row>
    <row r="56" spans="1:5">
      <c r="A56" s="6">
        <v>45474</v>
      </c>
      <c r="B56" s="10">
        <v>297.60000000000002</v>
      </c>
      <c r="C56" t="s">
        <v>28</v>
      </c>
      <c r="D56" t="s">
        <v>23</v>
      </c>
      <c r="E56" s="6">
        <v>45474</v>
      </c>
    </row>
    <row r="57" spans="1:5">
      <c r="A57" s="6">
        <v>45505</v>
      </c>
      <c r="B57" s="10">
        <v>292</v>
      </c>
      <c r="C57" t="s">
        <v>28</v>
      </c>
      <c r="D57" t="s">
        <v>23</v>
      </c>
      <c r="E57" s="6">
        <v>45505</v>
      </c>
    </row>
    <row r="58" spans="1:5">
      <c r="A58" s="6">
        <v>45536</v>
      </c>
      <c r="B58" s="10">
        <v>287.89999999999998</v>
      </c>
      <c r="C58" t="s">
        <v>28</v>
      </c>
      <c r="D58" t="s">
        <v>23</v>
      </c>
      <c r="E58" s="6">
        <v>45536</v>
      </c>
    </row>
    <row r="59" spans="1:5">
      <c r="A59" s="6">
        <v>45566</v>
      </c>
      <c r="B59" s="10">
        <v>291</v>
      </c>
      <c r="C59" t="s">
        <v>28</v>
      </c>
      <c r="D59" t="s">
        <v>23</v>
      </c>
      <c r="E59" s="6">
        <v>45566</v>
      </c>
    </row>
    <row r="60" spans="1:5">
      <c r="A60" s="6">
        <v>45597</v>
      </c>
      <c r="B60" s="10">
        <v>291.5</v>
      </c>
      <c r="C60" t="s">
        <v>28</v>
      </c>
      <c r="D60" t="s">
        <v>23</v>
      </c>
      <c r="E60" s="6">
        <v>45597</v>
      </c>
    </row>
    <row r="61" spans="1:5">
      <c r="A61" s="6">
        <v>45627</v>
      </c>
      <c r="B61" s="10">
        <v>289.2</v>
      </c>
      <c r="C61" t="s">
        <v>28</v>
      </c>
      <c r="D61" t="s">
        <v>23</v>
      </c>
      <c r="E61" s="6">
        <v>45627</v>
      </c>
    </row>
    <row r="62" spans="1:5">
      <c r="A62" s="6">
        <v>45658</v>
      </c>
      <c r="B62" s="10">
        <v>287.2</v>
      </c>
      <c r="C62" t="s">
        <v>28</v>
      </c>
      <c r="D62" t="s">
        <v>23</v>
      </c>
      <c r="E62" s="6">
        <v>45658</v>
      </c>
    </row>
    <row r="63" spans="1:5">
      <c r="A63" s="6">
        <v>45689</v>
      </c>
      <c r="B63" s="10">
        <v>285.60000000000002</v>
      </c>
      <c r="C63" t="s">
        <v>28</v>
      </c>
      <c r="D63" t="s">
        <v>23</v>
      </c>
      <c r="E63" s="6">
        <v>45689</v>
      </c>
    </row>
    <row r="64" spans="1:5">
      <c r="A64" s="6">
        <v>45717</v>
      </c>
      <c r="B64" s="10">
        <v>284.89999999999998</v>
      </c>
      <c r="C64" t="s">
        <v>28</v>
      </c>
      <c r="D64" t="s">
        <v>23</v>
      </c>
      <c r="E64" s="6">
        <v>45717</v>
      </c>
    </row>
    <row r="65" spans="1:5">
      <c r="A65" s="6">
        <v>45748</v>
      </c>
      <c r="B65" s="10">
        <v>286.5</v>
      </c>
      <c r="C65" t="s">
        <v>28</v>
      </c>
      <c r="D65" t="s">
        <v>23</v>
      </c>
      <c r="E65" s="6">
        <v>45748</v>
      </c>
    </row>
    <row r="66" spans="1:5">
      <c r="A66" s="6">
        <v>45778</v>
      </c>
      <c r="B66" s="10">
        <v>286.5</v>
      </c>
      <c r="C66" t="s">
        <v>28</v>
      </c>
      <c r="D66" t="s">
        <v>23</v>
      </c>
      <c r="E66" s="6">
        <v>45778</v>
      </c>
    </row>
    <row r="67" spans="1:5">
      <c r="A67" s="6">
        <v>45809</v>
      </c>
      <c r="B67" s="10">
        <v>286.7</v>
      </c>
      <c r="C67" t="s">
        <v>28</v>
      </c>
      <c r="D67" t="s">
        <v>23</v>
      </c>
      <c r="E67" s="6">
        <v>45809</v>
      </c>
    </row>
    <row r="68" spans="1:5">
      <c r="A68" s="6">
        <v>45839</v>
      </c>
      <c r="B68" s="10">
        <v>288.10000000000002</v>
      </c>
      <c r="C68" t="s">
        <v>28</v>
      </c>
      <c r="D68" t="s">
        <v>23</v>
      </c>
      <c r="E68" s="6">
        <v>45839</v>
      </c>
    </row>
    <row r="69" spans="1:5">
      <c r="A69" s="6">
        <v>45870</v>
      </c>
      <c r="B69" s="10">
        <v>288.7</v>
      </c>
      <c r="C69" t="s">
        <v>28</v>
      </c>
      <c r="D69" t="s">
        <v>23</v>
      </c>
      <c r="E69" s="6">
        <v>45870</v>
      </c>
    </row>
    <row r="70" spans="1:5">
      <c r="A70" s="6">
        <v>45901</v>
      </c>
      <c r="B70">
        <v>293.39999999999998</v>
      </c>
      <c r="C70" t="s">
        <v>28</v>
      </c>
      <c r="D70" t="s">
        <v>23</v>
      </c>
      <c r="E70" s="6">
        <v>45901</v>
      </c>
    </row>
    <row r="71" spans="1:5">
      <c r="A71" s="6">
        <v>45931</v>
      </c>
      <c r="B71">
        <v>294.89999999999998</v>
      </c>
      <c r="C71" t="s">
        <v>28</v>
      </c>
      <c r="D71" t="s">
        <v>23</v>
      </c>
      <c r="E71" s="6">
        <v>45931</v>
      </c>
    </row>
    <row r="72" spans="1:5">
      <c r="A72" s="6">
        <v>45962</v>
      </c>
      <c r="B72">
        <v>298.7</v>
      </c>
      <c r="C72" t="s">
        <v>28</v>
      </c>
      <c r="D72" t="s">
        <v>23</v>
      </c>
      <c r="E72" s="6">
        <v>45962</v>
      </c>
    </row>
    <row r="73" spans="1:5">
      <c r="A73" s="6">
        <v>45992</v>
      </c>
      <c r="B73">
        <v>299.60000000000002</v>
      </c>
      <c r="C73" t="s">
        <v>28</v>
      </c>
      <c r="D73" t="s">
        <v>23</v>
      </c>
      <c r="E73" s="6">
        <v>45992</v>
      </c>
    </row>
    <row r="74" spans="1:5">
      <c r="A74" s="6">
        <v>46023</v>
      </c>
      <c r="B74">
        <v>303</v>
      </c>
      <c r="C74" t="s">
        <v>28</v>
      </c>
      <c r="D74" t="s">
        <v>23</v>
      </c>
      <c r="E74" s="6">
        <v>46023</v>
      </c>
    </row>
    <row r="75" spans="1:5">
      <c r="A75" s="6">
        <v>46054</v>
      </c>
      <c r="B75">
        <v>308.5</v>
      </c>
      <c r="C75" t="s">
        <v>28</v>
      </c>
      <c r="D75" t="s">
        <v>23</v>
      </c>
      <c r="E75" s="6">
        <v>46054</v>
      </c>
    </row>
    <row r="76" spans="1:5">
      <c r="A76" s="6">
        <v>46082</v>
      </c>
      <c r="B76">
        <v>312.8</v>
      </c>
      <c r="C76" t="s">
        <v>28</v>
      </c>
      <c r="D76" t="s">
        <v>23</v>
      </c>
      <c r="E76" s="6">
        <v>46082</v>
      </c>
    </row>
    <row r="77" spans="1:5">
      <c r="A77" s="6">
        <v>46113</v>
      </c>
      <c r="B77">
        <v>316.60000000000002</v>
      </c>
      <c r="C77" t="s">
        <v>28</v>
      </c>
      <c r="D77" t="s">
        <v>23</v>
      </c>
      <c r="E77" s="6">
        <v>46113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0C42-17FD-A344-A336-548598A6372C}">
  <dimension ref="A1:E76"/>
  <sheetViews>
    <sheetView topLeftCell="A64" workbookViewId="0">
      <selection activeCell="B65" sqref="B65"/>
    </sheetView>
  </sheetViews>
  <sheetFormatPr defaultColWidth="10.78125" defaultRowHeight="27.5"/>
  <cols>
    <col min="2" max="2" width="10.5625" style="11" customWidth="1"/>
    <col min="4" max="4" width="14.73828125" bestFit="1" customWidth="1"/>
  </cols>
  <sheetData>
    <row r="1" spans="1:5">
      <c r="A1" s="6" t="s">
        <v>15</v>
      </c>
      <c r="B1" s="11" t="s">
        <v>17</v>
      </c>
      <c r="C1" t="s">
        <v>21</v>
      </c>
      <c r="D1" t="s">
        <v>19</v>
      </c>
      <c r="E1" s="5" t="s">
        <v>27</v>
      </c>
    </row>
    <row r="2" spans="1:5">
      <c r="A2" s="6">
        <v>43831</v>
      </c>
      <c r="B2" s="15">
        <v>272.61399999999998</v>
      </c>
      <c r="C2" t="s">
        <v>37</v>
      </c>
      <c r="D2" t="s">
        <v>23</v>
      </c>
      <c r="E2" s="6">
        <v>43831</v>
      </c>
    </row>
    <row r="3" spans="1:5">
      <c r="A3" s="6">
        <v>43862</v>
      </c>
      <c r="B3" s="15">
        <v>273.303</v>
      </c>
      <c r="C3" t="s">
        <v>37</v>
      </c>
      <c r="D3" t="s">
        <v>23</v>
      </c>
      <c r="E3" s="6">
        <v>43862</v>
      </c>
    </row>
    <row r="4" spans="1:5">
      <c r="A4" s="6">
        <v>43891</v>
      </c>
      <c r="B4" s="15">
        <v>273.32400000000001</v>
      </c>
      <c r="C4" t="s">
        <v>37</v>
      </c>
      <c r="D4" t="s">
        <v>23</v>
      </c>
      <c r="E4" s="6">
        <v>43891</v>
      </c>
    </row>
    <row r="5" spans="1:5">
      <c r="A5" s="6">
        <v>43922</v>
      </c>
      <c r="B5" s="15">
        <v>271.45999999999998</v>
      </c>
      <c r="C5" t="s">
        <v>37</v>
      </c>
      <c r="D5" t="s">
        <v>23</v>
      </c>
      <c r="E5" s="6">
        <v>43922</v>
      </c>
    </row>
    <row r="6" spans="1:5">
      <c r="A6" s="6">
        <v>43952</v>
      </c>
      <c r="B6" s="15">
        <v>270.27100000000002</v>
      </c>
      <c r="C6" t="s">
        <v>37</v>
      </c>
      <c r="D6" t="s">
        <v>23</v>
      </c>
      <c r="E6" s="6">
        <v>43952</v>
      </c>
    </row>
    <row r="7" spans="1:5">
      <c r="A7" s="6">
        <v>43983</v>
      </c>
      <c r="B7" s="15">
        <v>269.68</v>
      </c>
      <c r="C7" t="s">
        <v>37</v>
      </c>
      <c r="D7" t="s">
        <v>23</v>
      </c>
      <c r="E7" s="6">
        <v>43983</v>
      </c>
    </row>
    <row r="8" spans="1:5">
      <c r="A8" s="6">
        <v>44013</v>
      </c>
      <c r="B8" s="15">
        <v>273.28699999999998</v>
      </c>
      <c r="C8" t="s">
        <v>37</v>
      </c>
      <c r="D8" t="s">
        <v>23</v>
      </c>
      <c r="E8" s="6">
        <v>44013</v>
      </c>
    </row>
    <row r="9" spans="1:5">
      <c r="A9" s="6">
        <v>44044</v>
      </c>
      <c r="B9" s="15">
        <v>278.50200000000001</v>
      </c>
      <c r="C9" t="s">
        <v>37</v>
      </c>
      <c r="D9" t="s">
        <v>23</v>
      </c>
      <c r="E9" s="6">
        <v>44044</v>
      </c>
    </row>
    <row r="10" spans="1:5">
      <c r="A10" s="6">
        <v>44075</v>
      </c>
      <c r="B10" s="15">
        <v>284.28699999999998</v>
      </c>
      <c r="C10" t="s">
        <v>37</v>
      </c>
      <c r="D10" t="s">
        <v>23</v>
      </c>
      <c r="E10" s="6">
        <v>44075</v>
      </c>
    </row>
    <row r="11" spans="1:5">
      <c r="A11" s="6">
        <v>44105</v>
      </c>
      <c r="B11" s="15">
        <v>289.90600000000001</v>
      </c>
      <c r="C11" t="s">
        <v>37</v>
      </c>
      <c r="D11" t="s">
        <v>23</v>
      </c>
      <c r="E11" s="6">
        <v>44105</v>
      </c>
    </row>
    <row r="12" spans="1:5">
      <c r="A12" s="6">
        <v>44136</v>
      </c>
      <c r="B12" s="15">
        <v>294.09899999999999</v>
      </c>
      <c r="C12" t="s">
        <v>37</v>
      </c>
      <c r="D12" t="s">
        <v>23</v>
      </c>
      <c r="E12" s="6">
        <v>44136</v>
      </c>
    </row>
    <row r="13" spans="1:5">
      <c r="A13" s="6">
        <v>44166</v>
      </c>
      <c r="B13" s="15">
        <v>297.09399999999999</v>
      </c>
      <c r="C13" t="s">
        <v>37</v>
      </c>
      <c r="D13" t="s">
        <v>23</v>
      </c>
      <c r="E13" s="6">
        <v>44166</v>
      </c>
    </row>
    <row r="14" spans="1:5">
      <c r="A14" s="6">
        <v>44197</v>
      </c>
      <c r="B14" s="15">
        <v>300.80900000000003</v>
      </c>
      <c r="C14" t="s">
        <v>37</v>
      </c>
      <c r="D14" t="s">
        <v>23</v>
      </c>
      <c r="E14" s="6">
        <v>44197</v>
      </c>
    </row>
    <row r="15" spans="1:5">
      <c r="A15" s="6">
        <v>44228</v>
      </c>
      <c r="B15" s="15">
        <v>303.50200000000001</v>
      </c>
      <c r="C15" t="s">
        <v>37</v>
      </c>
      <c r="D15" t="s">
        <v>23</v>
      </c>
      <c r="E15" s="6">
        <v>44228</v>
      </c>
    </row>
    <row r="16" spans="1:5">
      <c r="A16" s="6">
        <v>44256</v>
      </c>
      <c r="B16" s="15">
        <v>306.33499999999998</v>
      </c>
      <c r="C16" t="s">
        <v>37</v>
      </c>
      <c r="D16" t="s">
        <v>23</v>
      </c>
      <c r="E16" s="6">
        <v>44256</v>
      </c>
    </row>
    <row r="17" spans="1:5">
      <c r="A17" s="6">
        <v>44287</v>
      </c>
      <c r="B17" s="15">
        <v>311.57799999999997</v>
      </c>
      <c r="C17" t="s">
        <v>37</v>
      </c>
      <c r="D17" t="s">
        <v>23</v>
      </c>
      <c r="E17" s="6">
        <v>44287</v>
      </c>
    </row>
    <row r="18" spans="1:5">
      <c r="A18" s="6">
        <v>44317</v>
      </c>
      <c r="B18" s="15">
        <v>318.35399999999998</v>
      </c>
      <c r="C18" t="s">
        <v>37</v>
      </c>
      <c r="D18" t="s">
        <v>23</v>
      </c>
      <c r="E18" s="6">
        <v>44317</v>
      </c>
    </row>
    <row r="19" spans="1:5">
      <c r="A19" s="6">
        <v>44348</v>
      </c>
      <c r="B19" s="15">
        <v>327.73500000000001</v>
      </c>
      <c r="C19" t="s">
        <v>37</v>
      </c>
      <c r="D19" t="s">
        <v>23</v>
      </c>
      <c r="E19" s="6">
        <v>44348</v>
      </c>
    </row>
    <row r="20" spans="1:5">
      <c r="A20" s="6">
        <v>44378</v>
      </c>
      <c r="B20" s="15">
        <v>332.589</v>
      </c>
      <c r="C20" t="s">
        <v>37</v>
      </c>
      <c r="D20" t="s">
        <v>23</v>
      </c>
      <c r="E20" s="6">
        <v>44378</v>
      </c>
    </row>
    <row r="21" spans="1:5">
      <c r="A21" s="6">
        <v>44409</v>
      </c>
      <c r="B21" s="15">
        <v>337.61500000000001</v>
      </c>
      <c r="C21" t="s">
        <v>37</v>
      </c>
      <c r="D21" t="s">
        <v>23</v>
      </c>
      <c r="E21" s="6">
        <v>44409</v>
      </c>
    </row>
    <row r="22" spans="1:5">
      <c r="A22" s="6">
        <v>44440</v>
      </c>
      <c r="B22" s="15">
        <v>340.86099999999999</v>
      </c>
      <c r="C22" t="s">
        <v>37</v>
      </c>
      <c r="D22" t="s">
        <v>23</v>
      </c>
      <c r="E22" s="6">
        <v>44440</v>
      </c>
    </row>
    <row r="23" spans="1:5">
      <c r="A23" s="6">
        <v>44470</v>
      </c>
      <c r="B23" s="15">
        <v>344.29599999999999</v>
      </c>
      <c r="C23" t="s">
        <v>37</v>
      </c>
      <c r="D23" t="s">
        <v>23</v>
      </c>
      <c r="E23" s="6">
        <v>44470</v>
      </c>
    </row>
    <row r="24" spans="1:5">
      <c r="A24" s="6">
        <v>44501</v>
      </c>
      <c r="B24" s="15">
        <v>348.67</v>
      </c>
      <c r="C24" t="s">
        <v>37</v>
      </c>
      <c r="D24" t="s">
        <v>23</v>
      </c>
      <c r="E24" s="6">
        <v>44501</v>
      </c>
    </row>
    <row r="25" spans="1:5">
      <c r="A25" s="6">
        <v>44531</v>
      </c>
      <c r="B25" s="15">
        <v>354.26</v>
      </c>
      <c r="C25" t="s">
        <v>37</v>
      </c>
      <c r="D25" t="s">
        <v>23</v>
      </c>
      <c r="E25" s="6">
        <v>44531</v>
      </c>
    </row>
    <row r="26" spans="1:5">
      <c r="A26" s="6">
        <v>44562</v>
      </c>
      <c r="B26" s="15">
        <v>364.57499999999999</v>
      </c>
      <c r="C26" t="s">
        <v>37</v>
      </c>
      <c r="D26" t="s">
        <v>23</v>
      </c>
      <c r="E26" s="6">
        <v>44562</v>
      </c>
    </row>
    <row r="27" spans="1:5">
      <c r="A27" s="6">
        <v>44593</v>
      </c>
      <c r="B27" s="15">
        <v>372.99799999999999</v>
      </c>
      <c r="C27" t="s">
        <v>37</v>
      </c>
      <c r="D27" t="s">
        <v>23</v>
      </c>
      <c r="E27" s="6">
        <v>44593</v>
      </c>
    </row>
    <row r="28" spans="1:5">
      <c r="A28" s="6">
        <v>44621</v>
      </c>
      <c r="B28" s="15">
        <v>379.42200000000003</v>
      </c>
      <c r="C28" t="s">
        <v>37</v>
      </c>
      <c r="D28" t="s">
        <v>23</v>
      </c>
      <c r="E28" s="6">
        <v>44621</v>
      </c>
    </row>
    <row r="29" spans="1:5">
      <c r="A29" s="6">
        <v>44652</v>
      </c>
      <c r="B29" s="15">
        <v>381.59800000000001</v>
      </c>
      <c r="C29" t="s">
        <v>37</v>
      </c>
      <c r="D29" t="s">
        <v>23</v>
      </c>
      <c r="E29" s="6">
        <v>44652</v>
      </c>
    </row>
    <row r="30" spans="1:5">
      <c r="A30" s="6">
        <v>44682</v>
      </c>
      <c r="B30" s="15">
        <v>383.10599999999999</v>
      </c>
      <c r="C30" t="s">
        <v>37</v>
      </c>
      <c r="D30" t="s">
        <v>23</v>
      </c>
      <c r="E30" s="6">
        <v>44682</v>
      </c>
    </row>
    <row r="31" spans="1:5">
      <c r="A31" s="6">
        <v>44713</v>
      </c>
      <c r="B31" s="15">
        <v>379.25200000000001</v>
      </c>
      <c r="C31" t="s">
        <v>37</v>
      </c>
      <c r="D31" t="s">
        <v>23</v>
      </c>
      <c r="E31" s="6">
        <v>44713</v>
      </c>
    </row>
    <row r="32" spans="1:5">
      <c r="A32" s="6">
        <v>44743</v>
      </c>
      <c r="B32" s="15">
        <v>367.61099999999999</v>
      </c>
      <c r="C32" t="s">
        <v>37</v>
      </c>
      <c r="D32" t="s">
        <v>23</v>
      </c>
      <c r="E32" s="6">
        <v>44743</v>
      </c>
    </row>
    <row r="33" spans="1:5">
      <c r="A33" s="6">
        <v>44774</v>
      </c>
      <c r="B33" s="15">
        <v>356.23399999999998</v>
      </c>
      <c r="C33" t="s">
        <v>37</v>
      </c>
      <c r="D33" t="s">
        <v>23</v>
      </c>
      <c r="E33" s="6">
        <v>44774</v>
      </c>
    </row>
    <row r="34" spans="1:5">
      <c r="A34" s="6">
        <v>44805</v>
      </c>
      <c r="B34" s="15">
        <v>348.94799999999998</v>
      </c>
      <c r="C34" t="s">
        <v>37</v>
      </c>
      <c r="D34" t="s">
        <v>23</v>
      </c>
      <c r="E34" s="6">
        <v>44805</v>
      </c>
    </row>
    <row r="35" spans="1:5">
      <c r="A35" s="6">
        <v>44835</v>
      </c>
      <c r="B35" s="15">
        <v>346.93900000000002</v>
      </c>
      <c r="C35" t="s">
        <v>37</v>
      </c>
      <c r="D35" t="s">
        <v>23</v>
      </c>
      <c r="E35" s="6">
        <v>44835</v>
      </c>
    </row>
    <row r="36" spans="1:5">
      <c r="A36" s="6">
        <v>44866</v>
      </c>
      <c r="B36" s="15">
        <v>344.03199999999998</v>
      </c>
      <c r="C36" t="s">
        <v>37</v>
      </c>
      <c r="D36" t="s">
        <v>23</v>
      </c>
      <c r="E36" s="6">
        <v>44866</v>
      </c>
    </row>
    <row r="37" spans="1:5">
      <c r="A37" s="6">
        <v>44896</v>
      </c>
      <c r="B37" s="15">
        <v>340.202</v>
      </c>
      <c r="C37" t="s">
        <v>37</v>
      </c>
      <c r="D37" t="s">
        <v>23</v>
      </c>
      <c r="E37" s="6">
        <v>44896</v>
      </c>
    </row>
    <row r="38" spans="1:5">
      <c r="A38" s="6">
        <v>44927</v>
      </c>
      <c r="B38" s="15">
        <v>336.85899999999998</v>
      </c>
      <c r="C38" t="s">
        <v>37</v>
      </c>
      <c r="D38" t="s">
        <v>23</v>
      </c>
      <c r="E38" s="6">
        <v>44927</v>
      </c>
    </row>
    <row r="39" spans="1:5">
      <c r="A39" s="6">
        <v>44958</v>
      </c>
      <c r="B39" s="15">
        <v>335.339</v>
      </c>
      <c r="C39" t="s">
        <v>37</v>
      </c>
      <c r="D39" t="s">
        <v>23</v>
      </c>
      <c r="E39" s="6">
        <v>44958</v>
      </c>
    </row>
    <row r="40" spans="1:5">
      <c r="A40" s="6">
        <v>44986</v>
      </c>
      <c r="B40" s="15">
        <v>336.20499999999998</v>
      </c>
      <c r="C40" t="s">
        <v>37</v>
      </c>
      <c r="D40" t="s">
        <v>23</v>
      </c>
      <c r="E40" s="6">
        <v>44986</v>
      </c>
    </row>
    <row r="41" spans="1:5">
      <c r="A41" s="6">
        <v>45017</v>
      </c>
      <c r="B41" s="15">
        <v>338.32100000000003</v>
      </c>
      <c r="C41" t="s">
        <v>37</v>
      </c>
      <c r="D41" t="s">
        <v>23</v>
      </c>
      <c r="E41" s="6">
        <v>45017</v>
      </c>
    </row>
    <row r="42" spans="1:5">
      <c r="A42" s="6">
        <v>45047</v>
      </c>
      <c r="B42" s="15">
        <v>339.85899999999998</v>
      </c>
      <c r="C42" t="s">
        <v>37</v>
      </c>
      <c r="D42" t="s">
        <v>23</v>
      </c>
      <c r="E42" s="6">
        <v>45047</v>
      </c>
    </row>
    <row r="43" spans="1:5">
      <c r="A43" s="6">
        <v>45078</v>
      </c>
      <c r="B43" s="15">
        <v>341.59699999999998</v>
      </c>
      <c r="C43" t="s">
        <v>37</v>
      </c>
      <c r="D43" t="s">
        <v>23</v>
      </c>
      <c r="E43" s="6">
        <v>45078</v>
      </c>
    </row>
    <row r="44" spans="1:5">
      <c r="A44" s="6">
        <v>45108</v>
      </c>
      <c r="B44" s="15">
        <v>344.20100000000002</v>
      </c>
      <c r="C44" t="s">
        <v>37</v>
      </c>
      <c r="D44" t="s">
        <v>23</v>
      </c>
      <c r="E44" s="6">
        <v>45108</v>
      </c>
    </row>
    <row r="45" spans="1:5">
      <c r="A45" s="6">
        <v>45139</v>
      </c>
      <c r="B45" s="15">
        <v>347.35700000000003</v>
      </c>
      <c r="C45" t="s">
        <v>37</v>
      </c>
      <c r="D45" t="s">
        <v>23</v>
      </c>
      <c r="E45" s="6">
        <v>45139</v>
      </c>
    </row>
    <row r="46" spans="1:5">
      <c r="A46" s="6">
        <v>45170</v>
      </c>
      <c r="B46" s="15">
        <v>351.11</v>
      </c>
      <c r="C46" t="s">
        <v>37</v>
      </c>
      <c r="D46" t="s">
        <v>23</v>
      </c>
      <c r="E46" s="6">
        <v>45170</v>
      </c>
    </row>
    <row r="47" spans="1:5">
      <c r="A47" s="6">
        <v>45200</v>
      </c>
      <c r="B47" s="15">
        <v>353.38499999999999</v>
      </c>
      <c r="C47" t="s">
        <v>37</v>
      </c>
      <c r="D47" t="s">
        <v>23</v>
      </c>
      <c r="E47" s="6">
        <v>45200</v>
      </c>
    </row>
    <row r="48" spans="1:5">
      <c r="A48" s="6">
        <v>45231</v>
      </c>
      <c r="B48" s="15">
        <v>352.33</v>
      </c>
      <c r="C48" t="s">
        <v>37</v>
      </c>
      <c r="D48" t="s">
        <v>23</v>
      </c>
      <c r="E48" s="6">
        <v>45231</v>
      </c>
    </row>
    <row r="49" spans="1:5">
      <c r="A49" s="6">
        <v>45261</v>
      </c>
      <c r="B49" s="15">
        <v>351.98099999999999</v>
      </c>
      <c r="C49" t="s">
        <v>37</v>
      </c>
      <c r="D49" t="s">
        <v>23</v>
      </c>
      <c r="E49" s="6">
        <v>45261</v>
      </c>
    </row>
    <row r="50" spans="1:5">
      <c r="A50" s="6">
        <v>45292</v>
      </c>
      <c r="B50" s="15">
        <v>352.411</v>
      </c>
      <c r="C50" t="s">
        <v>37</v>
      </c>
      <c r="D50" t="s">
        <v>23</v>
      </c>
      <c r="E50" s="6">
        <v>45292</v>
      </c>
    </row>
    <row r="51" spans="1:5">
      <c r="A51" s="6">
        <v>45323</v>
      </c>
      <c r="B51" s="15">
        <v>353.10599999999999</v>
      </c>
      <c r="C51" t="s">
        <v>37</v>
      </c>
      <c r="D51" t="s">
        <v>23</v>
      </c>
      <c r="E51" s="6">
        <v>45323</v>
      </c>
    </row>
    <row r="52" spans="1:5">
      <c r="A52" s="6">
        <v>45352</v>
      </c>
      <c r="B52" s="15">
        <v>352.89600000000002</v>
      </c>
      <c r="C52" t="s">
        <v>37</v>
      </c>
      <c r="D52" t="s">
        <v>23</v>
      </c>
      <c r="E52" s="6">
        <v>45352</v>
      </c>
    </row>
    <row r="53" spans="1:5">
      <c r="A53" s="6">
        <v>45383</v>
      </c>
      <c r="B53" s="15">
        <v>353.67</v>
      </c>
      <c r="C53" t="s">
        <v>37</v>
      </c>
      <c r="D53" t="s">
        <v>23</v>
      </c>
      <c r="E53" s="6">
        <v>45383</v>
      </c>
    </row>
    <row r="54" spans="1:5">
      <c r="A54" s="6">
        <v>45413</v>
      </c>
      <c r="B54" s="15">
        <v>354.34699999999998</v>
      </c>
      <c r="C54" t="s">
        <v>37</v>
      </c>
      <c r="D54" t="s">
        <v>23</v>
      </c>
      <c r="E54" s="6">
        <v>45413</v>
      </c>
    </row>
    <row r="55" spans="1:5">
      <c r="A55" s="6">
        <v>45444</v>
      </c>
      <c r="B55" s="15">
        <v>356.863</v>
      </c>
      <c r="C55" t="s">
        <v>37</v>
      </c>
      <c r="D55" t="s">
        <v>23</v>
      </c>
      <c r="E55" s="6">
        <v>45444</v>
      </c>
    </row>
    <row r="56" spans="1:5">
      <c r="A56" s="6">
        <v>45474</v>
      </c>
      <c r="B56" s="15">
        <v>355.91399999999999</v>
      </c>
      <c r="C56" t="s">
        <v>37</v>
      </c>
      <c r="D56" t="s">
        <v>23</v>
      </c>
      <c r="E56" s="6">
        <v>45474</v>
      </c>
    </row>
    <row r="57" spans="1:5">
      <c r="A57" s="6">
        <v>45505</v>
      </c>
      <c r="B57" s="15">
        <v>357.221</v>
      </c>
      <c r="C57" t="s">
        <v>37</v>
      </c>
      <c r="D57" t="s">
        <v>23</v>
      </c>
      <c r="E57" s="6">
        <v>45505</v>
      </c>
    </row>
    <row r="58" spans="1:5">
      <c r="A58" s="6">
        <v>45536</v>
      </c>
      <c r="B58" s="15">
        <v>358.21100000000001</v>
      </c>
      <c r="C58" t="s">
        <v>37</v>
      </c>
      <c r="D58" t="s">
        <v>23</v>
      </c>
      <c r="E58" s="6">
        <v>45536</v>
      </c>
    </row>
    <row r="59" spans="1:5">
      <c r="A59" s="6">
        <v>45566</v>
      </c>
      <c r="B59" s="15">
        <v>359.06900000000002</v>
      </c>
      <c r="C59" t="s">
        <v>37</v>
      </c>
      <c r="D59" t="s">
        <v>23</v>
      </c>
      <c r="E59" s="6">
        <v>45566</v>
      </c>
    </row>
    <row r="60" spans="1:5">
      <c r="A60" s="6">
        <v>45597</v>
      </c>
      <c r="B60" s="15">
        <v>359.49</v>
      </c>
      <c r="C60" t="s">
        <v>37</v>
      </c>
      <c r="D60" t="s">
        <v>23</v>
      </c>
      <c r="E60" s="6">
        <v>45597</v>
      </c>
    </row>
    <row r="61" spans="1:5">
      <c r="A61" s="6">
        <v>45627</v>
      </c>
      <c r="B61" s="15">
        <v>361.93299999999999</v>
      </c>
      <c r="C61" t="s">
        <v>37</v>
      </c>
      <c r="D61" t="s">
        <v>23</v>
      </c>
      <c r="E61" s="6">
        <v>45627</v>
      </c>
    </row>
    <row r="62" spans="1:5">
      <c r="A62" s="6">
        <v>45658</v>
      </c>
      <c r="B62" s="15">
        <v>363.08600000000001</v>
      </c>
      <c r="C62" t="s">
        <v>37</v>
      </c>
      <c r="D62" t="s">
        <v>23</v>
      </c>
      <c r="E62" s="6">
        <v>45658</v>
      </c>
    </row>
    <row r="63" spans="1:5">
      <c r="A63" s="6">
        <v>45689</v>
      </c>
      <c r="B63" s="15">
        <v>364.05</v>
      </c>
      <c r="C63" t="s">
        <v>37</v>
      </c>
      <c r="D63" t="s">
        <v>23</v>
      </c>
      <c r="E63" s="6">
        <v>45689</v>
      </c>
    </row>
    <row r="64" spans="1:5">
      <c r="A64" s="6">
        <v>45717</v>
      </c>
      <c r="B64" s="15">
        <v>358.46699999999998</v>
      </c>
      <c r="C64" t="s">
        <v>37</v>
      </c>
      <c r="D64" t="s">
        <v>23</v>
      </c>
      <c r="E64" s="6">
        <v>45717</v>
      </c>
    </row>
    <row r="65" spans="1:5">
      <c r="A65" s="6">
        <v>45748</v>
      </c>
      <c r="B65" s="42">
        <v>354.19372711900598</v>
      </c>
      <c r="C65" t="s">
        <v>37</v>
      </c>
      <c r="D65" t="s">
        <v>23</v>
      </c>
      <c r="E65" s="6">
        <v>45748</v>
      </c>
    </row>
    <row r="66" spans="1:5">
      <c r="A66" s="6">
        <v>45778</v>
      </c>
      <c r="B66" s="42">
        <v>352.11270457490201</v>
      </c>
      <c r="C66" t="s">
        <v>37</v>
      </c>
      <c r="D66" t="s">
        <v>23</v>
      </c>
      <c r="E66" s="6">
        <v>45778</v>
      </c>
    </row>
    <row r="67" spans="1:5">
      <c r="A67" s="6">
        <v>45809</v>
      </c>
      <c r="B67" s="42">
        <v>350.08568656610299</v>
      </c>
      <c r="C67" t="s">
        <v>37</v>
      </c>
      <c r="D67" t="s">
        <v>23</v>
      </c>
      <c r="E67" s="6">
        <v>45809</v>
      </c>
    </row>
    <row r="68" spans="1:5">
      <c r="A68" s="6">
        <v>45839</v>
      </c>
      <c r="B68" s="42">
        <v>350.04962687228198</v>
      </c>
      <c r="C68" t="s">
        <v>37</v>
      </c>
      <c r="D68" t="s">
        <v>23</v>
      </c>
      <c r="E68" s="6">
        <v>45839</v>
      </c>
    </row>
    <row r="69" spans="1:5">
      <c r="A69" s="6">
        <v>45870</v>
      </c>
      <c r="B69" s="42">
        <v>352.52850374678297</v>
      </c>
      <c r="C69" t="s">
        <v>37</v>
      </c>
      <c r="D69" t="s">
        <v>23</v>
      </c>
      <c r="E69" s="6">
        <v>45870</v>
      </c>
    </row>
    <row r="70" spans="1:5">
      <c r="A70" s="6">
        <v>45901</v>
      </c>
      <c r="B70" s="42">
        <v>355.21745831006899</v>
      </c>
      <c r="C70" t="s">
        <v>37</v>
      </c>
      <c r="D70" t="s">
        <v>23</v>
      </c>
      <c r="E70" s="6">
        <v>45901</v>
      </c>
    </row>
    <row r="71" spans="1:5">
      <c r="A71" s="6">
        <v>45931</v>
      </c>
      <c r="B71" s="42">
        <v>359.24574994296302</v>
      </c>
      <c r="C71" t="s">
        <v>37</v>
      </c>
      <c r="D71" t="s">
        <v>23</v>
      </c>
      <c r="E71" s="6">
        <v>45931</v>
      </c>
    </row>
    <row r="72" spans="1:5">
      <c r="A72" s="6">
        <v>45962</v>
      </c>
      <c r="B72" s="42">
        <v>360.80766714937101</v>
      </c>
      <c r="C72" t="s">
        <v>37</v>
      </c>
      <c r="D72" t="s">
        <v>23</v>
      </c>
      <c r="E72" s="6">
        <v>45962</v>
      </c>
    </row>
    <row r="73" spans="1:5">
      <c r="A73" s="6">
        <v>45992</v>
      </c>
      <c r="B73" s="42">
        <v>361.20040357866702</v>
      </c>
      <c r="C73" t="s">
        <v>37</v>
      </c>
      <c r="D73" t="s">
        <v>23</v>
      </c>
      <c r="E73" s="6">
        <v>45992</v>
      </c>
    </row>
    <row r="74" spans="1:5">
      <c r="A74" s="6">
        <v>46023</v>
      </c>
      <c r="B74" s="42">
        <v>360.98095555893298</v>
      </c>
      <c r="C74" t="s">
        <v>37</v>
      </c>
      <c r="D74" t="s">
        <v>23</v>
      </c>
      <c r="E74" s="6">
        <v>46023</v>
      </c>
    </row>
    <row r="75" spans="1:5">
      <c r="A75" s="6">
        <v>46054</v>
      </c>
      <c r="B75" s="42">
        <v>361.44834672303</v>
      </c>
      <c r="C75" t="s">
        <v>37</v>
      </c>
      <c r="D75" t="s">
        <v>23</v>
      </c>
      <c r="E75" s="6">
        <v>46054</v>
      </c>
    </row>
    <row r="76" spans="1:5">
      <c r="A76" s="6">
        <v>46082</v>
      </c>
      <c r="B76" s="42">
        <v>360.15886596558403</v>
      </c>
      <c r="C76" t="s">
        <v>37</v>
      </c>
      <c r="D76" t="s">
        <v>23</v>
      </c>
      <c r="E76" s="6">
        <v>46082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815A-330A-FB44-A90A-EA6BA5552924}">
  <dimension ref="A1:E77"/>
  <sheetViews>
    <sheetView topLeftCell="A67" workbookViewId="0">
      <selection activeCell="B77" sqref="B77"/>
    </sheetView>
  </sheetViews>
  <sheetFormatPr defaultColWidth="10.78125" defaultRowHeight="27.5"/>
  <sheetData>
    <row r="1" spans="1:5">
      <c r="A1" s="6" t="s">
        <v>15</v>
      </c>
      <c r="B1" s="9" t="s">
        <v>17</v>
      </c>
      <c r="C1" t="s">
        <v>21</v>
      </c>
      <c r="D1" t="s">
        <v>19</v>
      </c>
      <c r="E1" s="5" t="s">
        <v>27</v>
      </c>
    </row>
    <row r="2" spans="1:5">
      <c r="A2" s="6">
        <v>43831</v>
      </c>
      <c r="B2" s="10">
        <v>185.5</v>
      </c>
      <c r="C2" t="s">
        <v>28</v>
      </c>
      <c r="D2" t="s">
        <v>23</v>
      </c>
      <c r="E2" s="6">
        <v>43831</v>
      </c>
    </row>
    <row r="3" spans="1:5">
      <c r="A3" s="6">
        <v>43862</v>
      </c>
      <c r="B3" s="10">
        <v>185</v>
      </c>
      <c r="C3" t="s">
        <v>28</v>
      </c>
      <c r="D3" t="s">
        <v>23</v>
      </c>
      <c r="E3" s="6">
        <v>43862</v>
      </c>
    </row>
    <row r="4" spans="1:5">
      <c r="A4" s="6">
        <v>43891</v>
      </c>
      <c r="B4" s="10">
        <v>181.7</v>
      </c>
      <c r="C4" t="s">
        <v>28</v>
      </c>
      <c r="D4" t="s">
        <v>23</v>
      </c>
      <c r="E4" s="6">
        <v>43891</v>
      </c>
    </row>
    <row r="5" spans="1:5">
      <c r="A5" s="6">
        <v>43922</v>
      </c>
      <c r="B5" s="10">
        <v>179.9</v>
      </c>
      <c r="C5" t="s">
        <v>28</v>
      </c>
      <c r="D5" t="s">
        <v>23</v>
      </c>
      <c r="E5" s="6">
        <v>43922</v>
      </c>
    </row>
    <row r="6" spans="1:5">
      <c r="A6" s="6">
        <v>43952</v>
      </c>
      <c r="B6" s="10">
        <v>177.6</v>
      </c>
      <c r="C6" t="s">
        <v>28</v>
      </c>
      <c r="D6" t="s">
        <v>23</v>
      </c>
      <c r="E6" s="6">
        <v>43952</v>
      </c>
    </row>
    <row r="7" spans="1:5">
      <c r="A7" s="6">
        <v>43983</v>
      </c>
      <c r="B7" s="10">
        <v>180.1</v>
      </c>
      <c r="C7" t="s">
        <v>28</v>
      </c>
      <c r="D7" t="s">
        <v>23</v>
      </c>
      <c r="E7" s="6">
        <v>43983</v>
      </c>
    </row>
    <row r="8" spans="1:5">
      <c r="A8" s="6">
        <v>44013</v>
      </c>
      <c r="B8" s="10">
        <v>180.6</v>
      </c>
      <c r="C8" t="s">
        <v>28</v>
      </c>
      <c r="D8" t="s">
        <v>23</v>
      </c>
      <c r="E8" s="6">
        <v>44013</v>
      </c>
    </row>
    <row r="9" spans="1:5">
      <c r="A9" s="6">
        <v>44044</v>
      </c>
      <c r="B9" s="10">
        <v>181.2</v>
      </c>
      <c r="C9" t="s">
        <v>28</v>
      </c>
      <c r="D9" t="s">
        <v>23</v>
      </c>
      <c r="E9" s="6">
        <v>44044</v>
      </c>
    </row>
    <row r="10" spans="1:5">
      <c r="A10" s="6">
        <v>44075</v>
      </c>
      <c r="B10" s="10">
        <v>178.8</v>
      </c>
      <c r="C10" t="s">
        <v>28</v>
      </c>
      <c r="D10" t="s">
        <v>23</v>
      </c>
      <c r="E10" s="6">
        <v>44075</v>
      </c>
    </row>
    <row r="11" spans="1:5">
      <c r="A11" s="6">
        <v>44105</v>
      </c>
      <c r="B11" s="10">
        <v>178.2</v>
      </c>
      <c r="C11" t="s">
        <v>28</v>
      </c>
      <c r="D11" t="s">
        <v>23</v>
      </c>
      <c r="E11" s="6">
        <v>44105</v>
      </c>
    </row>
    <row r="12" spans="1:5">
      <c r="A12" s="6">
        <v>44136</v>
      </c>
      <c r="B12" s="10">
        <v>178.5</v>
      </c>
      <c r="C12" t="s">
        <v>28</v>
      </c>
      <c r="D12" t="s">
        <v>23</v>
      </c>
      <c r="E12" s="6">
        <v>44136</v>
      </c>
    </row>
    <row r="13" spans="1:5">
      <c r="A13" s="6">
        <v>44166</v>
      </c>
      <c r="B13" s="10">
        <v>176.6</v>
      </c>
      <c r="C13" t="s">
        <v>28</v>
      </c>
      <c r="D13" t="s">
        <v>23</v>
      </c>
      <c r="E13" s="6">
        <v>44166</v>
      </c>
    </row>
    <row r="14" spans="1:5">
      <c r="A14" s="6">
        <v>44197</v>
      </c>
      <c r="B14" s="10">
        <v>175.9</v>
      </c>
      <c r="C14" t="s">
        <v>28</v>
      </c>
      <c r="D14" t="s">
        <v>23</v>
      </c>
      <c r="E14" s="6">
        <v>44197</v>
      </c>
    </row>
    <row r="15" spans="1:5">
      <c r="A15" s="6">
        <v>44228</v>
      </c>
      <c r="B15" s="10">
        <v>174.1</v>
      </c>
      <c r="C15" t="s">
        <v>28</v>
      </c>
      <c r="D15" t="s">
        <v>23</v>
      </c>
      <c r="E15" s="6">
        <v>44228</v>
      </c>
    </row>
    <row r="16" spans="1:5">
      <c r="A16" s="6">
        <v>44256</v>
      </c>
      <c r="B16" s="10">
        <v>175.2</v>
      </c>
      <c r="C16" t="s">
        <v>28</v>
      </c>
      <c r="D16" t="s">
        <v>23</v>
      </c>
      <c r="E16" s="6">
        <v>44256</v>
      </c>
    </row>
    <row r="17" spans="1:5">
      <c r="A17" s="6">
        <v>44287</v>
      </c>
      <c r="B17" s="10">
        <v>177.5</v>
      </c>
      <c r="C17" t="s">
        <v>28</v>
      </c>
      <c r="D17" t="s">
        <v>23</v>
      </c>
      <c r="E17" s="6">
        <v>44287</v>
      </c>
    </row>
    <row r="18" spans="1:5">
      <c r="A18" s="6">
        <v>44317</v>
      </c>
      <c r="B18" s="10">
        <v>178.3</v>
      </c>
      <c r="C18" t="s">
        <v>28</v>
      </c>
      <c r="D18" t="s">
        <v>23</v>
      </c>
      <c r="E18" s="6">
        <v>44317</v>
      </c>
    </row>
    <row r="19" spans="1:5">
      <c r="A19" s="6">
        <v>44348</v>
      </c>
      <c r="B19" s="10">
        <v>179.3</v>
      </c>
      <c r="C19" t="s">
        <v>28</v>
      </c>
      <c r="D19" t="s">
        <v>23</v>
      </c>
      <c r="E19" s="6">
        <v>44348</v>
      </c>
    </row>
    <row r="20" spans="1:5">
      <c r="A20" s="6">
        <v>44378</v>
      </c>
      <c r="B20" s="10">
        <v>180.3</v>
      </c>
      <c r="C20" t="s">
        <v>28</v>
      </c>
      <c r="D20" t="s">
        <v>23</v>
      </c>
      <c r="E20" s="6">
        <v>44378</v>
      </c>
    </row>
    <row r="21" spans="1:5">
      <c r="A21" s="6">
        <v>44409</v>
      </c>
      <c r="B21" s="10">
        <v>182.6</v>
      </c>
      <c r="C21" t="s">
        <v>28</v>
      </c>
      <c r="D21" t="s">
        <v>23</v>
      </c>
      <c r="E21" s="6">
        <v>44409</v>
      </c>
    </row>
    <row r="22" spans="1:5">
      <c r="A22" s="6">
        <v>44440</v>
      </c>
      <c r="B22" s="10">
        <v>184.4</v>
      </c>
      <c r="C22" t="s">
        <v>28</v>
      </c>
      <c r="D22" t="s">
        <v>23</v>
      </c>
      <c r="E22" s="6">
        <v>44440</v>
      </c>
    </row>
    <row r="23" spans="1:5">
      <c r="A23" s="6">
        <v>44470</v>
      </c>
      <c r="B23" s="10">
        <v>184.3</v>
      </c>
      <c r="C23" t="s">
        <v>28</v>
      </c>
      <c r="D23" t="s">
        <v>23</v>
      </c>
      <c r="E23" s="6">
        <v>44470</v>
      </c>
    </row>
    <row r="24" spans="1:5">
      <c r="A24" s="6">
        <v>44501</v>
      </c>
      <c r="B24" s="10">
        <v>182.9</v>
      </c>
      <c r="C24" t="s">
        <v>28</v>
      </c>
      <c r="D24" t="s">
        <v>23</v>
      </c>
      <c r="E24" s="6">
        <v>44501</v>
      </c>
    </row>
    <row r="25" spans="1:5">
      <c r="A25" s="6">
        <v>44531</v>
      </c>
      <c r="B25" s="10">
        <v>182.7</v>
      </c>
      <c r="C25" t="s">
        <v>28</v>
      </c>
      <c r="D25" t="s">
        <v>23</v>
      </c>
      <c r="E25" s="6">
        <v>44531</v>
      </c>
    </row>
    <row r="26" spans="1:5">
      <c r="A26" s="6">
        <v>44562</v>
      </c>
      <c r="B26" s="10">
        <v>181.1</v>
      </c>
      <c r="C26" t="s">
        <v>28</v>
      </c>
      <c r="D26" t="s">
        <v>23</v>
      </c>
      <c r="E26" s="6">
        <v>44562</v>
      </c>
    </row>
    <row r="27" spans="1:5">
      <c r="A27" s="6">
        <v>44593</v>
      </c>
      <c r="B27" s="10">
        <v>180.2</v>
      </c>
      <c r="C27" t="s">
        <v>28</v>
      </c>
      <c r="D27" t="s">
        <v>23</v>
      </c>
      <c r="E27" s="6">
        <v>44593</v>
      </c>
    </row>
    <row r="28" spans="1:5">
      <c r="A28" s="6">
        <v>44621</v>
      </c>
      <c r="B28" s="10">
        <v>178.5</v>
      </c>
      <c r="C28" t="s">
        <v>28</v>
      </c>
      <c r="D28" t="s">
        <v>23</v>
      </c>
      <c r="E28" s="6">
        <v>44621</v>
      </c>
    </row>
    <row r="29" spans="1:5">
      <c r="A29" s="6">
        <v>44652</v>
      </c>
      <c r="B29" s="10">
        <v>177.3</v>
      </c>
      <c r="C29" t="s">
        <v>28</v>
      </c>
      <c r="D29" t="s">
        <v>23</v>
      </c>
      <c r="E29" s="6">
        <v>44652</v>
      </c>
    </row>
    <row r="30" spans="1:5">
      <c r="A30" s="6">
        <v>44682</v>
      </c>
      <c r="B30" s="10">
        <v>177.9</v>
      </c>
      <c r="C30" t="s">
        <v>28</v>
      </c>
      <c r="D30" t="s">
        <v>23</v>
      </c>
      <c r="E30" s="6">
        <v>44682</v>
      </c>
    </row>
    <row r="31" spans="1:5">
      <c r="A31" s="6">
        <v>44713</v>
      </c>
      <c r="B31" s="10">
        <v>178</v>
      </c>
      <c r="C31" t="s">
        <v>28</v>
      </c>
      <c r="D31" t="s">
        <v>23</v>
      </c>
      <c r="E31" s="6">
        <v>44713</v>
      </c>
    </row>
    <row r="32" spans="1:5">
      <c r="A32" s="6">
        <v>44743</v>
      </c>
      <c r="B32" s="10">
        <v>178.1</v>
      </c>
      <c r="C32" t="s">
        <v>28</v>
      </c>
      <c r="D32" t="s">
        <v>23</v>
      </c>
      <c r="E32" s="6">
        <v>44743</v>
      </c>
    </row>
    <row r="33" spans="1:5">
      <c r="A33" s="6">
        <v>44774</v>
      </c>
      <c r="B33" s="10">
        <v>179.4</v>
      </c>
      <c r="C33" t="s">
        <v>28</v>
      </c>
      <c r="D33" t="s">
        <v>23</v>
      </c>
      <c r="E33" s="6">
        <v>44774</v>
      </c>
    </row>
    <row r="34" spans="1:5">
      <c r="A34" s="6">
        <v>44805</v>
      </c>
      <c r="B34" s="10">
        <v>179</v>
      </c>
      <c r="C34" t="s">
        <v>28</v>
      </c>
      <c r="D34" t="s">
        <v>23</v>
      </c>
      <c r="E34" s="6">
        <v>44805</v>
      </c>
    </row>
    <row r="35" spans="1:5">
      <c r="A35" s="6">
        <v>44835</v>
      </c>
      <c r="B35" s="10">
        <v>178</v>
      </c>
      <c r="C35" t="s">
        <v>28</v>
      </c>
      <c r="D35" t="s">
        <v>23</v>
      </c>
      <c r="E35" s="6">
        <v>44835</v>
      </c>
    </row>
    <row r="36" spans="1:5">
      <c r="A36" s="6">
        <v>44866</v>
      </c>
      <c r="B36" s="10">
        <v>176.4</v>
      </c>
      <c r="C36" t="s">
        <v>28</v>
      </c>
      <c r="D36" t="s">
        <v>23</v>
      </c>
      <c r="E36" s="6">
        <v>44866</v>
      </c>
    </row>
    <row r="37" spans="1:5">
      <c r="A37" s="6">
        <v>44896</v>
      </c>
      <c r="B37" s="10">
        <v>175.5</v>
      </c>
      <c r="C37" t="s">
        <v>28</v>
      </c>
      <c r="D37" t="s">
        <v>23</v>
      </c>
      <c r="E37" s="6">
        <v>44896</v>
      </c>
    </row>
    <row r="38" spans="1:5">
      <c r="A38" s="6">
        <v>44927</v>
      </c>
      <c r="B38" s="10">
        <v>173.6</v>
      </c>
      <c r="C38" t="s">
        <v>28</v>
      </c>
      <c r="D38" t="s">
        <v>23</v>
      </c>
      <c r="E38" s="6">
        <v>44927</v>
      </c>
    </row>
    <row r="39" spans="1:5">
      <c r="A39" s="6">
        <v>44958</v>
      </c>
      <c r="B39" s="10">
        <v>175.1</v>
      </c>
      <c r="C39" t="s">
        <v>28</v>
      </c>
      <c r="D39" t="s">
        <v>23</v>
      </c>
      <c r="E39" s="6">
        <v>44958</v>
      </c>
    </row>
    <row r="40" spans="1:5">
      <c r="A40" s="6">
        <v>44986</v>
      </c>
      <c r="B40" s="10">
        <v>176.2</v>
      </c>
      <c r="C40" t="s">
        <v>28</v>
      </c>
      <c r="D40" t="s">
        <v>23</v>
      </c>
      <c r="E40" s="6">
        <v>44986</v>
      </c>
    </row>
    <row r="41" spans="1:5">
      <c r="A41" s="6">
        <v>45017</v>
      </c>
      <c r="B41" s="10">
        <v>178.7</v>
      </c>
      <c r="C41" t="s">
        <v>28</v>
      </c>
      <c r="D41" t="s">
        <v>23</v>
      </c>
      <c r="E41" s="6">
        <v>45017</v>
      </c>
    </row>
    <row r="42" spans="1:5">
      <c r="A42" s="6">
        <v>45047</v>
      </c>
      <c r="B42" s="10">
        <v>179.9</v>
      </c>
      <c r="C42" t="s">
        <v>28</v>
      </c>
      <c r="D42" t="s">
        <v>23</v>
      </c>
      <c r="E42" s="6">
        <v>45047</v>
      </c>
    </row>
    <row r="43" spans="1:5">
      <c r="A43" s="6">
        <v>45078</v>
      </c>
      <c r="B43" s="10">
        <v>180.9</v>
      </c>
      <c r="C43" t="s">
        <v>28</v>
      </c>
      <c r="D43" t="s">
        <v>23</v>
      </c>
      <c r="E43" s="6">
        <v>45078</v>
      </c>
    </row>
    <row r="44" spans="1:5">
      <c r="A44" s="6">
        <v>45108</v>
      </c>
      <c r="B44" s="10">
        <v>182</v>
      </c>
      <c r="C44" t="s">
        <v>28</v>
      </c>
      <c r="D44" t="s">
        <v>23</v>
      </c>
      <c r="E44" s="6">
        <v>45108</v>
      </c>
    </row>
    <row r="45" spans="1:5">
      <c r="A45" s="6">
        <v>45139</v>
      </c>
      <c r="B45" s="10">
        <v>184.9</v>
      </c>
      <c r="C45" t="s">
        <v>28</v>
      </c>
      <c r="D45" t="s">
        <v>23</v>
      </c>
      <c r="E45" s="6">
        <v>45139</v>
      </c>
    </row>
    <row r="46" spans="1:5">
      <c r="A46" s="6">
        <v>45170</v>
      </c>
      <c r="B46" s="10">
        <v>185.2</v>
      </c>
      <c r="C46" t="s">
        <v>28</v>
      </c>
      <c r="D46" t="s">
        <v>23</v>
      </c>
      <c r="E46" s="6">
        <v>45170</v>
      </c>
    </row>
    <row r="47" spans="1:5">
      <c r="A47" s="6">
        <v>45200</v>
      </c>
      <c r="B47" s="10">
        <v>185.4</v>
      </c>
      <c r="C47" t="s">
        <v>28</v>
      </c>
      <c r="D47" t="s">
        <v>23</v>
      </c>
      <c r="E47" s="6">
        <v>45200</v>
      </c>
    </row>
    <row r="48" spans="1:5">
      <c r="A48" s="6">
        <v>45231</v>
      </c>
      <c r="B48" s="10">
        <v>185.5</v>
      </c>
      <c r="C48" t="s">
        <v>28</v>
      </c>
      <c r="D48" t="s">
        <v>23</v>
      </c>
      <c r="E48" s="6">
        <v>45231</v>
      </c>
    </row>
    <row r="49" spans="1:5">
      <c r="A49" s="6">
        <v>45261</v>
      </c>
      <c r="B49" s="10">
        <v>186</v>
      </c>
      <c r="C49" t="s">
        <v>28</v>
      </c>
      <c r="D49" t="s">
        <v>23</v>
      </c>
      <c r="E49" s="6">
        <v>45261</v>
      </c>
    </row>
    <row r="50" spans="1:5">
      <c r="A50" s="6">
        <v>45292</v>
      </c>
      <c r="B50" s="10">
        <v>185.5</v>
      </c>
      <c r="C50" t="s">
        <v>28</v>
      </c>
      <c r="D50" t="s">
        <v>23</v>
      </c>
      <c r="E50" s="6">
        <v>45292</v>
      </c>
    </row>
    <row r="51" spans="1:5">
      <c r="A51" s="6">
        <v>45323</v>
      </c>
      <c r="B51" s="10">
        <v>184.4</v>
      </c>
      <c r="C51" t="s">
        <v>28</v>
      </c>
      <c r="D51" t="s">
        <v>23</v>
      </c>
      <c r="E51" s="6">
        <v>45323</v>
      </c>
    </row>
    <row r="52" spans="1:5">
      <c r="A52" s="6">
        <v>45352</v>
      </c>
      <c r="B52" s="10">
        <v>184.9</v>
      </c>
      <c r="C52" t="s">
        <v>28</v>
      </c>
      <c r="D52" t="s">
        <v>23</v>
      </c>
      <c r="E52" s="6">
        <v>45352</v>
      </c>
    </row>
    <row r="53" spans="1:5">
      <c r="A53" s="6">
        <v>45383</v>
      </c>
      <c r="B53" s="10">
        <v>186.9</v>
      </c>
      <c r="C53" t="s">
        <v>28</v>
      </c>
      <c r="D53" t="s">
        <v>23</v>
      </c>
      <c r="E53" s="6">
        <v>45383</v>
      </c>
    </row>
    <row r="54" spans="1:5">
      <c r="A54" s="6">
        <v>45413</v>
      </c>
      <c r="B54" s="10">
        <v>190</v>
      </c>
      <c r="C54" t="s">
        <v>28</v>
      </c>
      <c r="D54" t="s">
        <v>23</v>
      </c>
      <c r="E54" s="6">
        <v>45413</v>
      </c>
    </row>
    <row r="55" spans="1:5">
      <c r="A55" s="6">
        <v>45444</v>
      </c>
      <c r="B55" s="10">
        <v>192.5</v>
      </c>
      <c r="C55" t="s">
        <v>28</v>
      </c>
      <c r="D55" t="s">
        <v>23</v>
      </c>
      <c r="E55" s="6">
        <v>45444</v>
      </c>
    </row>
    <row r="56" spans="1:5">
      <c r="A56" s="6">
        <v>45474</v>
      </c>
      <c r="B56" s="10">
        <v>193.8</v>
      </c>
      <c r="C56" t="s">
        <v>28</v>
      </c>
      <c r="D56" t="s">
        <v>23</v>
      </c>
      <c r="E56" s="6">
        <v>45474</v>
      </c>
    </row>
    <row r="57" spans="1:5">
      <c r="A57" s="6">
        <v>45505</v>
      </c>
      <c r="B57" s="10">
        <v>195.1</v>
      </c>
      <c r="C57" t="s">
        <v>28</v>
      </c>
      <c r="D57" t="s">
        <v>23</v>
      </c>
      <c r="E57" s="6">
        <v>45505</v>
      </c>
    </row>
    <row r="58" spans="1:5">
      <c r="A58" s="6">
        <v>45536</v>
      </c>
      <c r="B58" s="10">
        <v>195.3</v>
      </c>
      <c r="C58" t="s">
        <v>28</v>
      </c>
      <c r="D58" t="s">
        <v>23</v>
      </c>
      <c r="E58" s="6">
        <v>45536</v>
      </c>
    </row>
    <row r="59" spans="1:5">
      <c r="A59" s="6">
        <v>45566</v>
      </c>
      <c r="B59" s="10">
        <v>192.7</v>
      </c>
      <c r="C59" t="s">
        <v>28</v>
      </c>
      <c r="D59" t="s">
        <v>23</v>
      </c>
      <c r="E59" s="6">
        <v>45566</v>
      </c>
    </row>
    <row r="60" spans="1:5">
      <c r="A60" s="6">
        <v>45597</v>
      </c>
      <c r="B60" s="10">
        <v>191.9</v>
      </c>
      <c r="C60" t="s">
        <v>28</v>
      </c>
      <c r="D60" t="s">
        <v>23</v>
      </c>
      <c r="E60" s="6">
        <v>45597</v>
      </c>
    </row>
    <row r="61" spans="1:5">
      <c r="A61" s="6">
        <v>45627</v>
      </c>
      <c r="B61" s="10">
        <v>192.5</v>
      </c>
      <c r="C61" t="s">
        <v>28</v>
      </c>
      <c r="D61" t="s">
        <v>23</v>
      </c>
      <c r="E61" s="6">
        <v>45627</v>
      </c>
    </row>
    <row r="62" spans="1:5">
      <c r="A62" s="6">
        <v>45658</v>
      </c>
      <c r="B62" s="10">
        <v>192.8</v>
      </c>
      <c r="C62" t="s">
        <v>28</v>
      </c>
      <c r="D62" t="s">
        <v>23</v>
      </c>
      <c r="E62" s="6">
        <v>45658</v>
      </c>
    </row>
    <row r="63" spans="1:5">
      <c r="A63" s="6">
        <v>45689</v>
      </c>
      <c r="B63" s="10">
        <v>193</v>
      </c>
      <c r="C63" t="s">
        <v>28</v>
      </c>
      <c r="D63" t="s">
        <v>23</v>
      </c>
      <c r="E63" s="6">
        <v>45689</v>
      </c>
    </row>
    <row r="64" spans="1:5">
      <c r="A64" s="6">
        <v>45717</v>
      </c>
      <c r="B64" s="10">
        <v>193.1</v>
      </c>
      <c r="C64" t="s">
        <v>28</v>
      </c>
      <c r="D64" t="s">
        <v>23</v>
      </c>
      <c r="E64" s="6">
        <v>45717</v>
      </c>
    </row>
    <row r="65" spans="1:5">
      <c r="A65" s="6">
        <v>45748</v>
      </c>
      <c r="B65" s="10">
        <v>193.9</v>
      </c>
      <c r="C65" t="s">
        <v>28</v>
      </c>
      <c r="D65" t="s">
        <v>23</v>
      </c>
      <c r="E65" s="6">
        <v>45748</v>
      </c>
    </row>
    <row r="66" spans="1:5">
      <c r="A66" s="6">
        <v>45778</v>
      </c>
      <c r="B66" s="10">
        <v>194.2</v>
      </c>
      <c r="C66" t="s">
        <v>28</v>
      </c>
      <c r="D66" t="s">
        <v>23</v>
      </c>
      <c r="E66" s="6">
        <v>45778</v>
      </c>
    </row>
    <row r="67" spans="1:5">
      <c r="A67" s="6">
        <v>45809</v>
      </c>
      <c r="B67" s="10">
        <v>195.9</v>
      </c>
      <c r="C67" t="s">
        <v>28</v>
      </c>
      <c r="D67" t="s">
        <v>23</v>
      </c>
      <c r="E67" s="6">
        <v>45809</v>
      </c>
    </row>
    <row r="68" spans="1:5">
      <c r="A68" s="6">
        <v>45839</v>
      </c>
      <c r="B68" s="10">
        <v>197.4</v>
      </c>
      <c r="C68" t="s">
        <v>28</v>
      </c>
      <c r="D68" t="s">
        <v>23</v>
      </c>
      <c r="E68" s="6">
        <v>45839</v>
      </c>
    </row>
    <row r="69" spans="1:5">
      <c r="A69" s="6">
        <v>45870</v>
      </c>
      <c r="B69" s="10">
        <v>199.9</v>
      </c>
      <c r="C69" t="s">
        <v>28</v>
      </c>
      <c r="D69" t="s">
        <v>23</v>
      </c>
      <c r="E69" s="6">
        <v>45870</v>
      </c>
    </row>
    <row r="70" spans="1:5">
      <c r="A70" s="6">
        <v>45901</v>
      </c>
      <c r="B70">
        <v>199.9</v>
      </c>
      <c r="C70" t="s">
        <v>28</v>
      </c>
      <c r="D70" t="s">
        <v>23</v>
      </c>
      <c r="E70" s="6">
        <v>45901</v>
      </c>
    </row>
    <row r="71" spans="1:5">
      <c r="A71" s="6">
        <v>45931</v>
      </c>
      <c r="B71">
        <v>199.9</v>
      </c>
      <c r="C71" t="s">
        <v>28</v>
      </c>
      <c r="D71" t="s">
        <v>23</v>
      </c>
      <c r="E71" s="6">
        <v>45931</v>
      </c>
    </row>
    <row r="72" spans="1:5">
      <c r="A72" s="6">
        <v>45962</v>
      </c>
      <c r="B72">
        <v>200.4</v>
      </c>
      <c r="C72" t="s">
        <v>28</v>
      </c>
      <c r="D72" t="s">
        <v>23</v>
      </c>
      <c r="E72" s="6">
        <v>45962</v>
      </c>
    </row>
    <row r="73" spans="1:5">
      <c r="A73" s="6">
        <v>45992</v>
      </c>
      <c r="B73">
        <v>200.4</v>
      </c>
      <c r="C73" t="s">
        <v>28</v>
      </c>
      <c r="D73" t="s">
        <v>23</v>
      </c>
      <c r="E73" s="6">
        <v>45992</v>
      </c>
    </row>
    <row r="74" spans="1:5">
      <c r="A74" s="6">
        <v>46023</v>
      </c>
      <c r="B74">
        <v>200.8</v>
      </c>
      <c r="C74" t="s">
        <v>28</v>
      </c>
      <c r="D74" t="s">
        <v>23</v>
      </c>
      <c r="E74" s="6">
        <v>46023</v>
      </c>
    </row>
    <row r="75" spans="1:5">
      <c r="A75" s="6">
        <v>46054</v>
      </c>
      <c r="B75">
        <v>201</v>
      </c>
      <c r="C75" t="s">
        <v>28</v>
      </c>
      <c r="D75" t="s">
        <v>23</v>
      </c>
      <c r="E75" s="6">
        <v>46054</v>
      </c>
    </row>
    <row r="76" spans="1:5">
      <c r="A76" s="6">
        <v>46082</v>
      </c>
      <c r="B76">
        <v>202.2</v>
      </c>
      <c r="C76" t="s">
        <v>28</v>
      </c>
      <c r="D76" t="s">
        <v>23</v>
      </c>
      <c r="E76" s="6">
        <v>46082</v>
      </c>
    </row>
    <row r="77" spans="1:5">
      <c r="A77" s="6">
        <v>46113</v>
      </c>
      <c r="B77">
        <v>203.4</v>
      </c>
      <c r="C77" t="s">
        <v>28</v>
      </c>
      <c r="D77" t="s">
        <v>23</v>
      </c>
      <c r="E77" s="6">
        <v>46113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0CA1-A780-FE4D-9430-35E57D84DFED}">
  <dimension ref="A1:E77"/>
  <sheetViews>
    <sheetView topLeftCell="A72" zoomScaleNormal="100" workbookViewId="0">
      <selection activeCell="F73" sqref="F73"/>
    </sheetView>
  </sheetViews>
  <sheetFormatPr defaultColWidth="10.78125" defaultRowHeight="27.5"/>
  <sheetData>
    <row r="1" spans="1:5">
      <c r="A1" s="6" t="s">
        <v>15</v>
      </c>
      <c r="B1" s="9" t="s">
        <v>17</v>
      </c>
      <c r="C1" t="s">
        <v>21</v>
      </c>
      <c r="D1" t="s">
        <v>19</v>
      </c>
      <c r="E1" s="5" t="s">
        <v>27</v>
      </c>
    </row>
    <row r="2" spans="1:5">
      <c r="A2" s="6">
        <v>43831</v>
      </c>
      <c r="B2" s="14">
        <v>467.14499999999998</v>
      </c>
      <c r="C2" t="s">
        <v>37</v>
      </c>
      <c r="D2" t="s">
        <v>23</v>
      </c>
      <c r="E2" s="6">
        <v>43831</v>
      </c>
    </row>
    <row r="3" spans="1:5">
      <c r="A3" s="6">
        <v>43862</v>
      </c>
      <c r="B3" s="14">
        <v>469.06200000000001</v>
      </c>
      <c r="C3" t="s">
        <v>37</v>
      </c>
      <c r="D3" t="s">
        <v>23</v>
      </c>
      <c r="E3" s="6">
        <v>43862</v>
      </c>
    </row>
    <row r="4" spans="1:5">
      <c r="A4" s="6">
        <v>43891</v>
      </c>
      <c r="B4" s="14">
        <v>469.87799999999999</v>
      </c>
      <c r="C4" t="s">
        <v>37</v>
      </c>
      <c r="D4" t="s">
        <v>23</v>
      </c>
      <c r="E4" s="6">
        <v>43891</v>
      </c>
    </row>
    <row r="5" spans="1:5">
      <c r="A5" s="6">
        <v>43922</v>
      </c>
      <c r="B5" s="14">
        <v>466.19600000000003</v>
      </c>
      <c r="C5" t="s">
        <v>37</v>
      </c>
      <c r="D5" t="s">
        <v>23</v>
      </c>
      <c r="E5" s="6">
        <v>43922</v>
      </c>
    </row>
    <row r="6" spans="1:5">
      <c r="A6" s="6">
        <v>43952</v>
      </c>
      <c r="B6" s="14">
        <v>464.779</v>
      </c>
      <c r="C6" t="s">
        <v>37</v>
      </c>
      <c r="D6" t="s">
        <v>23</v>
      </c>
      <c r="E6" s="6">
        <v>43952</v>
      </c>
    </row>
    <row r="7" spans="1:5">
      <c r="A7" s="6">
        <v>43983</v>
      </c>
      <c r="B7" s="14">
        <v>463.70400000000001</v>
      </c>
      <c r="C7" t="s">
        <v>37</v>
      </c>
      <c r="D7" t="s">
        <v>23</v>
      </c>
      <c r="E7" s="6">
        <v>43983</v>
      </c>
    </row>
    <row r="8" spans="1:5">
      <c r="A8" s="6">
        <v>44013</v>
      </c>
      <c r="B8" s="14">
        <v>465.09100000000001</v>
      </c>
      <c r="C8" t="s">
        <v>37</v>
      </c>
      <c r="D8" t="s">
        <v>23</v>
      </c>
      <c r="E8" s="6">
        <v>44013</v>
      </c>
    </row>
    <row r="9" spans="1:5">
      <c r="A9" s="6">
        <v>44044</v>
      </c>
      <c r="B9" s="14">
        <v>465.71300000000002</v>
      </c>
      <c r="C9" t="s">
        <v>37</v>
      </c>
      <c r="D9" t="s">
        <v>23</v>
      </c>
      <c r="E9" s="6">
        <v>44044</v>
      </c>
    </row>
    <row r="10" spans="1:5">
      <c r="A10" s="6">
        <v>44075</v>
      </c>
      <c r="B10" s="14">
        <v>466.18200000000002</v>
      </c>
      <c r="C10" t="s">
        <v>37</v>
      </c>
      <c r="D10" t="s">
        <v>23</v>
      </c>
      <c r="E10" s="6">
        <v>44075</v>
      </c>
    </row>
    <row r="11" spans="1:5">
      <c r="A11" s="6">
        <v>44105</v>
      </c>
      <c r="B11" s="14">
        <v>468.72500000000002</v>
      </c>
      <c r="C11" t="s">
        <v>37</v>
      </c>
      <c r="D11" t="s">
        <v>23</v>
      </c>
      <c r="E11" s="6">
        <v>44105</v>
      </c>
    </row>
    <row r="12" spans="1:5">
      <c r="A12" s="6">
        <v>44136</v>
      </c>
      <c r="B12" s="14">
        <v>469.137</v>
      </c>
      <c r="C12" t="s">
        <v>37</v>
      </c>
      <c r="D12" t="s">
        <v>23</v>
      </c>
      <c r="E12" s="6">
        <v>44136</v>
      </c>
    </row>
    <row r="13" spans="1:5">
      <c r="A13" s="6">
        <v>44166</v>
      </c>
      <c r="B13" s="14">
        <v>468.851</v>
      </c>
      <c r="C13" t="s">
        <v>37</v>
      </c>
      <c r="D13" t="s">
        <v>23</v>
      </c>
      <c r="E13" s="6">
        <v>44166</v>
      </c>
    </row>
    <row r="14" spans="1:5">
      <c r="A14" s="6">
        <v>44197</v>
      </c>
      <c r="B14" s="14">
        <v>467.94200000000001</v>
      </c>
      <c r="C14" t="s">
        <v>37</v>
      </c>
      <c r="D14" t="s">
        <v>23</v>
      </c>
      <c r="E14" s="6">
        <v>44197</v>
      </c>
    </row>
    <row r="15" spans="1:5">
      <c r="A15" s="6">
        <v>44228</v>
      </c>
      <c r="B15" s="14">
        <v>468.80700000000002</v>
      </c>
      <c r="C15" t="s">
        <v>37</v>
      </c>
      <c r="D15" t="s">
        <v>23</v>
      </c>
      <c r="E15" s="6">
        <v>44228</v>
      </c>
    </row>
    <row r="16" spans="1:5">
      <c r="A16" s="6">
        <v>44256</v>
      </c>
      <c r="B16" s="14">
        <v>468.23099999999999</v>
      </c>
      <c r="C16" t="s">
        <v>37</v>
      </c>
      <c r="D16" t="s">
        <v>23</v>
      </c>
      <c r="E16" s="6">
        <v>44256</v>
      </c>
    </row>
    <row r="17" spans="1:5">
      <c r="A17" s="6">
        <v>44287</v>
      </c>
      <c r="B17" s="14">
        <v>467.75799999999998</v>
      </c>
      <c r="C17" t="s">
        <v>37</v>
      </c>
      <c r="D17" t="s">
        <v>23</v>
      </c>
      <c r="E17" s="6">
        <v>44287</v>
      </c>
    </row>
    <row r="18" spans="1:5">
      <c r="A18" s="6">
        <v>44317</v>
      </c>
      <c r="B18" s="14">
        <v>467.26100000000002</v>
      </c>
      <c r="C18" t="s">
        <v>37</v>
      </c>
      <c r="D18" t="s">
        <v>23</v>
      </c>
      <c r="E18" s="6">
        <v>44317</v>
      </c>
    </row>
    <row r="19" spans="1:5">
      <c r="A19" s="6">
        <v>44348</v>
      </c>
      <c r="B19" s="14">
        <v>466.65100000000001</v>
      </c>
      <c r="C19" t="s">
        <v>37</v>
      </c>
      <c r="D19" t="s">
        <v>23</v>
      </c>
      <c r="E19" s="6">
        <v>44348</v>
      </c>
    </row>
    <row r="20" spans="1:5">
      <c r="A20" s="6">
        <v>44378</v>
      </c>
      <c r="B20" s="14">
        <v>467.71199999999999</v>
      </c>
      <c r="C20" t="s">
        <v>37</v>
      </c>
      <c r="D20" t="s">
        <v>23</v>
      </c>
      <c r="E20" s="6">
        <v>44378</v>
      </c>
    </row>
    <row r="21" spans="1:5">
      <c r="A21" s="6">
        <v>44409</v>
      </c>
      <c r="B21" s="14">
        <v>467.584</v>
      </c>
      <c r="C21" t="s">
        <v>37</v>
      </c>
      <c r="D21" t="s">
        <v>23</v>
      </c>
      <c r="E21" s="6">
        <v>44409</v>
      </c>
    </row>
    <row r="22" spans="1:5">
      <c r="A22" s="6">
        <v>44440</v>
      </c>
      <c r="B22" s="14">
        <v>466.85500000000002</v>
      </c>
      <c r="C22" t="s">
        <v>37</v>
      </c>
      <c r="D22" t="s">
        <v>23</v>
      </c>
      <c r="E22" s="6">
        <v>44440</v>
      </c>
    </row>
    <row r="23" spans="1:5">
      <c r="A23" s="6">
        <v>44470</v>
      </c>
      <c r="B23" s="14">
        <v>467.01400000000001</v>
      </c>
      <c r="C23" t="s">
        <v>37</v>
      </c>
      <c r="D23" t="s">
        <v>23</v>
      </c>
      <c r="E23" s="6">
        <v>44470</v>
      </c>
    </row>
    <row r="24" spans="1:5">
      <c r="A24" s="6">
        <v>44501</v>
      </c>
      <c r="B24" s="14">
        <v>466.90600000000001</v>
      </c>
      <c r="C24" t="s">
        <v>37</v>
      </c>
      <c r="D24" t="s">
        <v>23</v>
      </c>
      <c r="E24" s="6">
        <v>44501</v>
      </c>
    </row>
    <row r="25" spans="1:5">
      <c r="A25" s="6">
        <v>44531</v>
      </c>
      <c r="B25" s="14">
        <v>467.58800000000002</v>
      </c>
      <c r="C25" t="s">
        <v>37</v>
      </c>
      <c r="D25" t="s">
        <v>23</v>
      </c>
      <c r="E25" s="6">
        <v>44531</v>
      </c>
    </row>
    <row r="26" spans="1:5">
      <c r="A26" s="6">
        <v>44562</v>
      </c>
      <c r="B26" s="14">
        <v>468.49599999999998</v>
      </c>
      <c r="C26" t="s">
        <v>37</v>
      </c>
      <c r="D26" t="s">
        <v>23</v>
      </c>
      <c r="E26" s="6">
        <v>44562</v>
      </c>
    </row>
    <row r="27" spans="1:5">
      <c r="A27" s="6">
        <v>44593</v>
      </c>
      <c r="B27" s="14">
        <v>469.286</v>
      </c>
      <c r="C27" t="s">
        <v>37</v>
      </c>
      <c r="D27" t="s">
        <v>23</v>
      </c>
      <c r="E27" s="6">
        <v>44593</v>
      </c>
    </row>
    <row r="28" spans="1:5">
      <c r="A28" s="6">
        <v>44621</v>
      </c>
      <c r="B28" s="14">
        <v>469.62900000000002</v>
      </c>
      <c r="C28" t="s">
        <v>37</v>
      </c>
      <c r="D28" t="s">
        <v>23</v>
      </c>
      <c r="E28" s="6">
        <v>44621</v>
      </c>
    </row>
    <row r="29" spans="1:5">
      <c r="A29" s="6">
        <v>44652</v>
      </c>
      <c r="B29" s="14">
        <v>471.42599999999999</v>
      </c>
      <c r="C29" t="s">
        <v>37</v>
      </c>
      <c r="D29" t="s">
        <v>23</v>
      </c>
      <c r="E29" s="6">
        <v>44652</v>
      </c>
    </row>
    <row r="30" spans="1:5">
      <c r="A30" s="6">
        <v>44682</v>
      </c>
      <c r="B30" s="14">
        <v>471.64800000000002</v>
      </c>
      <c r="C30" t="s">
        <v>37</v>
      </c>
      <c r="D30" t="s">
        <v>23</v>
      </c>
      <c r="E30" s="6">
        <v>44682</v>
      </c>
    </row>
    <row r="31" spans="1:5">
      <c r="A31" s="6">
        <v>44713</v>
      </c>
      <c r="B31" s="14">
        <v>472.69099999999997</v>
      </c>
      <c r="C31" t="s">
        <v>37</v>
      </c>
      <c r="D31" t="s">
        <v>23</v>
      </c>
      <c r="E31" s="6">
        <v>44713</v>
      </c>
    </row>
    <row r="32" spans="1:5">
      <c r="A32" s="6">
        <v>44743</v>
      </c>
      <c r="B32" s="14">
        <v>474.15899999999999</v>
      </c>
      <c r="C32" t="s">
        <v>37</v>
      </c>
      <c r="D32" t="s">
        <v>23</v>
      </c>
      <c r="E32" s="6">
        <v>44743</v>
      </c>
    </row>
    <row r="33" spans="1:5">
      <c r="A33" s="6">
        <v>44774</v>
      </c>
      <c r="B33" s="14">
        <v>476.38400000000001</v>
      </c>
      <c r="C33" t="s">
        <v>37</v>
      </c>
      <c r="D33" t="s">
        <v>23</v>
      </c>
      <c r="E33" s="6">
        <v>44774</v>
      </c>
    </row>
    <row r="34" spans="1:5">
      <c r="A34" s="6">
        <v>44805</v>
      </c>
      <c r="B34" s="14">
        <v>477.57900000000001</v>
      </c>
      <c r="C34" t="s">
        <v>37</v>
      </c>
      <c r="D34" t="s">
        <v>23</v>
      </c>
      <c r="E34" s="6">
        <v>44805</v>
      </c>
    </row>
    <row r="35" spans="1:5">
      <c r="A35" s="6">
        <v>44835</v>
      </c>
      <c r="B35" s="14">
        <v>479.99900000000002</v>
      </c>
      <c r="C35" t="s">
        <v>37</v>
      </c>
      <c r="D35" t="s">
        <v>23</v>
      </c>
      <c r="E35" s="6">
        <v>44835</v>
      </c>
    </row>
    <row r="36" spans="1:5">
      <c r="A36" s="6">
        <v>44866</v>
      </c>
      <c r="B36" s="14">
        <v>483.94299999999998</v>
      </c>
      <c r="C36" t="s">
        <v>37</v>
      </c>
      <c r="D36" t="s">
        <v>23</v>
      </c>
      <c r="E36" s="6">
        <v>44866</v>
      </c>
    </row>
    <row r="37" spans="1:5">
      <c r="A37" s="6">
        <v>44896</v>
      </c>
      <c r="B37" s="14">
        <v>487.48</v>
      </c>
      <c r="C37" t="s">
        <v>37</v>
      </c>
      <c r="D37" t="s">
        <v>23</v>
      </c>
      <c r="E37" s="6">
        <v>44896</v>
      </c>
    </row>
    <row r="38" spans="1:5">
      <c r="A38" s="6">
        <v>44927</v>
      </c>
      <c r="B38" s="14">
        <v>490.03100000000001</v>
      </c>
      <c r="C38" t="s">
        <v>37</v>
      </c>
      <c r="D38" t="s">
        <v>23</v>
      </c>
      <c r="E38" s="6">
        <v>44927</v>
      </c>
    </row>
    <row r="39" spans="1:5">
      <c r="A39" s="6">
        <v>44958</v>
      </c>
      <c r="B39" s="14">
        <v>491.87400000000002</v>
      </c>
      <c r="C39" t="s">
        <v>37</v>
      </c>
      <c r="D39" t="s">
        <v>23</v>
      </c>
      <c r="E39" s="6">
        <v>44958</v>
      </c>
    </row>
    <row r="40" spans="1:5">
      <c r="A40" s="6">
        <v>44986</v>
      </c>
      <c r="B40" s="14">
        <v>494.28300000000002</v>
      </c>
      <c r="C40" t="s">
        <v>37</v>
      </c>
      <c r="D40" t="s">
        <v>23</v>
      </c>
      <c r="E40" s="6">
        <v>44986</v>
      </c>
    </row>
    <row r="41" spans="1:5">
      <c r="A41" s="6">
        <v>45017</v>
      </c>
      <c r="B41" s="14">
        <v>494.56</v>
      </c>
      <c r="C41" t="s">
        <v>37</v>
      </c>
      <c r="D41" t="s">
        <v>23</v>
      </c>
      <c r="E41" s="6">
        <v>45017</v>
      </c>
    </row>
    <row r="42" spans="1:5">
      <c r="A42" s="6">
        <v>45047</v>
      </c>
      <c r="B42" s="14">
        <v>494.88099999999997</v>
      </c>
      <c r="C42" t="s">
        <v>37</v>
      </c>
      <c r="D42" t="s">
        <v>23</v>
      </c>
      <c r="E42" s="6">
        <v>45047</v>
      </c>
    </row>
    <row r="43" spans="1:5">
      <c r="A43" s="6">
        <v>45078</v>
      </c>
      <c r="B43" s="14">
        <v>501.714</v>
      </c>
      <c r="C43" t="s">
        <v>37</v>
      </c>
      <c r="D43" t="s">
        <v>23</v>
      </c>
      <c r="E43" s="6">
        <v>45078</v>
      </c>
    </row>
    <row r="44" spans="1:5">
      <c r="A44" s="6">
        <v>45108</v>
      </c>
      <c r="B44" s="14">
        <v>501.91699999999997</v>
      </c>
      <c r="C44" t="s">
        <v>37</v>
      </c>
      <c r="D44" t="s">
        <v>23</v>
      </c>
      <c r="E44" s="6">
        <v>45108</v>
      </c>
    </row>
    <row r="45" spans="1:5">
      <c r="A45" s="6">
        <v>45139</v>
      </c>
      <c r="B45" s="14">
        <v>501.255</v>
      </c>
      <c r="C45" t="s">
        <v>37</v>
      </c>
      <c r="D45" t="s">
        <v>23</v>
      </c>
      <c r="E45" s="6">
        <v>45139</v>
      </c>
    </row>
    <row r="46" spans="1:5">
      <c r="A46" s="6">
        <v>45170</v>
      </c>
      <c r="B46" s="14">
        <v>502.863</v>
      </c>
      <c r="C46" t="s">
        <v>37</v>
      </c>
      <c r="D46" t="s">
        <v>23</v>
      </c>
      <c r="E46" s="6">
        <v>45170</v>
      </c>
    </row>
    <row r="47" spans="1:5">
      <c r="A47" s="6">
        <v>45200</v>
      </c>
      <c r="B47" s="14">
        <v>502.62599999999998</v>
      </c>
      <c r="C47" t="s">
        <v>37</v>
      </c>
      <c r="D47" t="s">
        <v>23</v>
      </c>
      <c r="E47" s="6">
        <v>45200</v>
      </c>
    </row>
    <row r="48" spans="1:5">
      <c r="A48" s="6">
        <v>45231</v>
      </c>
      <c r="B48" s="14">
        <v>504.34399999999999</v>
      </c>
      <c r="C48" t="s">
        <v>37</v>
      </c>
      <c r="D48" t="s">
        <v>23</v>
      </c>
      <c r="E48" s="6">
        <v>45231</v>
      </c>
    </row>
    <row r="49" spans="1:5">
      <c r="A49" s="6">
        <v>45261</v>
      </c>
      <c r="B49" s="14">
        <v>503.44299999999998</v>
      </c>
      <c r="C49" t="s">
        <v>37</v>
      </c>
      <c r="D49" t="s">
        <v>23</v>
      </c>
      <c r="E49" s="6">
        <v>45261</v>
      </c>
    </row>
    <row r="50" spans="1:5">
      <c r="A50" s="6">
        <v>45292</v>
      </c>
      <c r="B50" s="14">
        <v>504.31099999999998</v>
      </c>
      <c r="C50" t="s">
        <v>37</v>
      </c>
      <c r="D50" t="s">
        <v>23</v>
      </c>
      <c r="E50" s="6">
        <v>45292</v>
      </c>
    </row>
    <row r="51" spans="1:5">
      <c r="A51" s="6">
        <v>45323</v>
      </c>
      <c r="B51" s="14">
        <v>503.93799999999999</v>
      </c>
      <c r="C51" t="s">
        <v>37</v>
      </c>
      <c r="D51" t="s">
        <v>23</v>
      </c>
      <c r="E51" s="6">
        <v>45323</v>
      </c>
    </row>
    <row r="52" spans="1:5">
      <c r="A52" s="6">
        <v>45352</v>
      </c>
      <c r="B52" s="14">
        <v>506</v>
      </c>
      <c r="C52" t="s">
        <v>37</v>
      </c>
      <c r="D52" t="s">
        <v>23</v>
      </c>
      <c r="E52" s="6">
        <v>45352</v>
      </c>
    </row>
    <row r="53" spans="1:5">
      <c r="A53" s="6">
        <v>45383</v>
      </c>
      <c r="B53" s="14">
        <v>504.92700000000002</v>
      </c>
      <c r="C53" t="s">
        <v>37</v>
      </c>
      <c r="D53" t="s">
        <v>23</v>
      </c>
      <c r="E53" s="6">
        <v>45383</v>
      </c>
    </row>
    <row r="54" spans="1:5">
      <c r="A54" s="6">
        <v>45413</v>
      </c>
      <c r="B54" s="14">
        <v>505.68599999999998</v>
      </c>
      <c r="C54" t="s">
        <v>37</v>
      </c>
      <c r="D54" t="s">
        <v>23</v>
      </c>
      <c r="E54" s="6">
        <v>45413</v>
      </c>
    </row>
    <row r="55" spans="1:5">
      <c r="A55" s="6">
        <v>45444</v>
      </c>
      <c r="B55" s="14">
        <v>504.84100000000001</v>
      </c>
      <c r="C55" t="s">
        <v>37</v>
      </c>
      <c r="D55" t="s">
        <v>23</v>
      </c>
      <c r="E55" s="6">
        <v>45444</v>
      </c>
    </row>
    <row r="56" spans="1:5">
      <c r="A56" s="6">
        <v>45474</v>
      </c>
      <c r="B56" s="14">
        <v>506.11</v>
      </c>
      <c r="C56" t="s">
        <v>37</v>
      </c>
      <c r="D56" t="s">
        <v>23</v>
      </c>
      <c r="E56" s="6">
        <v>45474</v>
      </c>
    </row>
    <row r="57" spans="1:5">
      <c r="A57" s="6">
        <v>45505</v>
      </c>
      <c r="B57" s="14">
        <v>508.72399999999999</v>
      </c>
      <c r="C57" t="s">
        <v>37</v>
      </c>
      <c r="D57" t="s">
        <v>23</v>
      </c>
      <c r="E57" s="6">
        <v>45505</v>
      </c>
    </row>
    <row r="58" spans="1:5">
      <c r="A58" s="6">
        <v>45536</v>
      </c>
      <c r="B58" s="14">
        <v>510.60300000000001</v>
      </c>
      <c r="C58" t="s">
        <v>37</v>
      </c>
      <c r="D58" t="s">
        <v>23</v>
      </c>
      <c r="E58" s="6">
        <v>45536</v>
      </c>
    </row>
    <row r="59" spans="1:5">
      <c r="A59" s="6">
        <v>45566</v>
      </c>
      <c r="B59" s="14">
        <v>512.78200000000004</v>
      </c>
      <c r="C59" t="s">
        <v>37</v>
      </c>
      <c r="D59" t="s">
        <v>23</v>
      </c>
      <c r="E59" s="6">
        <v>45566</v>
      </c>
    </row>
    <row r="60" spans="1:5">
      <c r="A60" s="6">
        <v>45597</v>
      </c>
      <c r="B60" s="14">
        <v>513.49400000000003</v>
      </c>
      <c r="C60" t="s">
        <v>37</v>
      </c>
      <c r="D60" t="s">
        <v>23</v>
      </c>
      <c r="E60" s="6">
        <v>45597</v>
      </c>
    </row>
    <row r="61" spans="1:5">
      <c r="A61" s="6">
        <v>45627</v>
      </c>
      <c r="B61" s="14">
        <v>515.88599999999997</v>
      </c>
      <c r="C61" t="s">
        <v>37</v>
      </c>
      <c r="D61" t="s">
        <v>23</v>
      </c>
      <c r="E61" s="6">
        <v>45627</v>
      </c>
    </row>
    <row r="62" spans="1:5">
      <c r="A62" s="6">
        <v>45658</v>
      </c>
      <c r="B62" s="14">
        <v>517.58100000000002</v>
      </c>
      <c r="C62" t="s">
        <v>37</v>
      </c>
      <c r="D62" t="s">
        <v>23</v>
      </c>
      <c r="E62" s="6">
        <v>45658</v>
      </c>
    </row>
    <row r="63" spans="1:5">
      <c r="A63" s="6">
        <v>45689</v>
      </c>
      <c r="B63" s="14">
        <v>517.18299999999999</v>
      </c>
      <c r="C63" t="s">
        <v>37</v>
      </c>
      <c r="D63" t="s">
        <v>23</v>
      </c>
      <c r="E63" s="6">
        <v>45689</v>
      </c>
    </row>
    <row r="64" spans="1:5">
      <c r="A64" s="6">
        <v>45717</v>
      </c>
      <c r="B64" s="14">
        <v>518.49300000000005</v>
      </c>
      <c r="C64" t="s">
        <v>37</v>
      </c>
      <c r="D64" t="s">
        <v>23</v>
      </c>
      <c r="E64" s="6">
        <v>45717</v>
      </c>
    </row>
    <row r="65" spans="1:5">
      <c r="A65" s="6">
        <v>45748</v>
      </c>
      <c r="B65" s="14">
        <v>518.36599999999999</v>
      </c>
      <c r="C65" t="s">
        <v>37</v>
      </c>
      <c r="D65" t="s">
        <v>23</v>
      </c>
      <c r="E65" s="6">
        <v>45748</v>
      </c>
    </row>
    <row r="66" spans="1:5">
      <c r="A66" s="6">
        <v>45778</v>
      </c>
      <c r="B66" s="14">
        <v>518.38599999999997</v>
      </c>
      <c r="C66" t="s">
        <v>37</v>
      </c>
      <c r="D66" t="s">
        <v>23</v>
      </c>
      <c r="E66" s="6">
        <v>45778</v>
      </c>
    </row>
    <row r="67" spans="1:5">
      <c r="A67" s="6">
        <v>45809</v>
      </c>
      <c r="B67" s="14">
        <v>519.44899999999996</v>
      </c>
      <c r="C67" t="s">
        <v>37</v>
      </c>
      <c r="D67" t="s">
        <v>23</v>
      </c>
      <c r="E67" s="6">
        <v>45809</v>
      </c>
    </row>
    <row r="68" spans="1:5">
      <c r="A68" s="6">
        <v>45839</v>
      </c>
      <c r="B68" s="14">
        <v>518.55600000000004</v>
      </c>
      <c r="C68" t="s">
        <v>37</v>
      </c>
      <c r="D68" t="s">
        <v>23</v>
      </c>
      <c r="E68" s="6">
        <v>45839</v>
      </c>
    </row>
    <row r="69" spans="1:5">
      <c r="A69" s="6">
        <v>45870</v>
      </c>
      <c r="B69" s="14">
        <v>520.14</v>
      </c>
      <c r="C69" t="s">
        <v>37</v>
      </c>
      <c r="D69" t="s">
        <v>23</v>
      </c>
      <c r="E69" s="6">
        <v>45870</v>
      </c>
    </row>
    <row r="70" spans="1:5">
      <c r="A70" s="6">
        <v>45901</v>
      </c>
      <c r="B70" s="14">
        <v>521.37699999999995</v>
      </c>
      <c r="C70" t="s">
        <v>37</v>
      </c>
      <c r="D70" t="s">
        <v>23</v>
      </c>
      <c r="E70" s="6">
        <v>45901</v>
      </c>
    </row>
    <row r="71" spans="1:5">
      <c r="A71" s="6">
        <v>45931</v>
      </c>
      <c r="B71" s="14">
        <v>521.37699999999995</v>
      </c>
      <c r="C71" t="s">
        <v>37</v>
      </c>
      <c r="D71" t="s">
        <v>23</v>
      </c>
      <c r="E71" s="6">
        <v>45931</v>
      </c>
    </row>
    <row r="72" spans="1:5">
      <c r="A72" s="6">
        <v>45962</v>
      </c>
      <c r="B72">
        <v>522.02599999999995</v>
      </c>
      <c r="C72" t="s">
        <v>37</v>
      </c>
      <c r="D72" t="s">
        <v>23</v>
      </c>
      <c r="E72" s="6">
        <v>45962</v>
      </c>
    </row>
    <row r="73" spans="1:5">
      <c r="A73" s="6">
        <v>45992</v>
      </c>
      <c r="B73">
        <v>524.77700000000004</v>
      </c>
      <c r="C73" t="s">
        <v>37</v>
      </c>
      <c r="D73" t="s">
        <v>23</v>
      </c>
      <c r="E73" s="6">
        <v>45992</v>
      </c>
    </row>
    <row r="74" spans="1:5">
      <c r="A74" s="6">
        <v>46023</v>
      </c>
      <c r="B74">
        <v>526.399</v>
      </c>
      <c r="C74" t="s">
        <v>37</v>
      </c>
      <c r="D74" t="s">
        <v>23</v>
      </c>
      <c r="E74" s="6">
        <v>46023</v>
      </c>
    </row>
    <row r="75" spans="1:5">
      <c r="A75" s="6">
        <v>46054</v>
      </c>
      <c r="B75">
        <v>527.20100000000002</v>
      </c>
      <c r="C75" t="s">
        <v>37</v>
      </c>
      <c r="D75" t="s">
        <v>23</v>
      </c>
      <c r="E75" s="6">
        <v>46054</v>
      </c>
    </row>
    <row r="76" spans="1:5">
      <c r="A76" s="6">
        <v>46082</v>
      </c>
      <c r="B76">
        <v>528.14700000000005</v>
      </c>
      <c r="C76" t="s">
        <v>37</v>
      </c>
      <c r="D76" t="s">
        <v>23</v>
      </c>
      <c r="E76" s="6">
        <v>46082</v>
      </c>
    </row>
    <row r="77" spans="1:5">
      <c r="A77" s="6">
        <v>46113</v>
      </c>
      <c r="B77">
        <v>532.15300000000002</v>
      </c>
      <c r="C77" t="s">
        <v>37</v>
      </c>
      <c r="D77" t="s">
        <v>23</v>
      </c>
      <c r="E77" s="6">
        <v>46113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85C3D9-1E79-7E4A-92BD-6F4A482453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output_sheet</vt:lpstr>
      <vt:lpstr>price-to-rent ratio</vt:lpstr>
      <vt:lpstr>Processed_HousePriceIndex_CN_SZ</vt:lpstr>
      <vt:lpstr>Processed_HousePriceIndex_CN_HK</vt:lpstr>
      <vt:lpstr>Processed_HousePriceIndex_US_CA</vt:lpstr>
      <vt:lpstr>Processed_RentPrice_CN_HK </vt:lpstr>
      <vt:lpstr>Processed_RentPrice_US_CA</vt:lpstr>
      <vt:lpstr>rawData_HousePriceIndex_SZ</vt:lpstr>
      <vt:lpstr>rawData_HousePriceIndex_HK</vt:lpstr>
      <vt:lpstr>rawData_HousePriceIndex_US</vt:lpstr>
      <vt:lpstr>rawData_RentPriceIndex_HK</vt:lpstr>
      <vt:lpstr>rawData_RentPriceIndex_US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sunmingke</dc:creator>
  <cp:lastModifiedBy>Lucius Gorden</cp:lastModifiedBy>
  <dcterms:created xsi:type="dcterms:W3CDTF">2025-10-11T08:34:24Z</dcterms:created>
  <dcterms:modified xsi:type="dcterms:W3CDTF">2026-06-07T16:53:57Z</dcterms:modified>
</cp:coreProperties>
</file>